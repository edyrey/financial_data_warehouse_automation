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NARPM_Data_Warehouse\data\"/>
    </mc:Choice>
  </mc:AlternateContent>
  <xr:revisionPtr revIDLastSave="0" documentId="13_ncr:1_{4B54A814-DF79-4D2B-A914-507E1488DEAA}" xr6:coauthVersionLast="47" xr6:coauthVersionMax="47" xr10:uidLastSave="{00000000-0000-0000-0000-000000000000}"/>
  <bookViews>
    <workbookView xWindow="9518" yWindow="0" windowWidth="9765" windowHeight="10162" tabRatio="959" firstSheet="6" activeTab="12" xr2:uid="{00000000-000D-0000-FFFF-FFFF00000000}"/>
  </bookViews>
  <sheets>
    <sheet name="DEPARTMENT 180-F" sheetId="13" r:id="rId1"/>
    <sheet name="DEPARTMENT 181-F" sheetId="2" r:id="rId2"/>
    <sheet name="DEPARTMENT 182-F" sheetId="3" r:id="rId3"/>
    <sheet name="DEPARTMENT 185-F" sheetId="4" r:id="rId4"/>
    <sheet name="DEPARTMENT 186-F" sheetId="5" r:id="rId5"/>
    <sheet name="DEPARTMENT 188-F" sheetId="6" r:id="rId6"/>
    <sheet name="DEPARTMENT 190-F" sheetId="7" r:id="rId7"/>
    <sheet name="DEPARTMENT 192-F" sheetId="8" r:id="rId8"/>
    <sheet name="DEPARTMENT 195-F" sheetId="9" r:id="rId9"/>
    <sheet name="DEPARTMENT 198-F" sheetId="10" r:id="rId10"/>
    <sheet name="DEPARTMENT 199-F" sheetId="11" r:id="rId11"/>
    <sheet name="DEPARTMENT 202-F" sheetId="12" r:id="rId12"/>
    <sheet name="Sheet1" sheetId="14" r:id="rId13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190-F'!$1:$2</definedName>
    <definedName name="_xlnm.Print_Titles" localSheetId="7">'DEPARTMENT 192-F'!$1:$2</definedName>
    <definedName name="_xlnm.Print_Titles" localSheetId="8">'DEPARTMENT 195-F'!$1:$2</definedName>
    <definedName name="_xlnm.Print_Titles" localSheetId="9">'DEPARTMENT 198-F'!$1:$2</definedName>
    <definedName name="_xlnm.Print_Titles" localSheetId="10">'DEPARTMENT 199-F'!$1:$2</definedName>
    <definedName name="_xlnm.Print_Titles" localSheetId="11">'DEPARTMENT 202-F'!$1:$2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B2" i="14"/>
</calcChain>
</file>

<file path=xl/sharedStrings.xml><?xml version="1.0" encoding="utf-8"?>
<sst xmlns="http://schemas.openxmlformats.org/spreadsheetml/2006/main" count="642" uniqueCount="267">
  <si>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</si>
  <si>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</si>
  <si>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</si>
  <si>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</si>
  <si>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</si>
  <si>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</si>
  <si>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</si>
  <si>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</si>
  <si>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</si>
  <si>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</si>
  <si>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3146</t>
  </si>
  <si>
    <t>Official Partner</t>
  </si>
  <si>
    <t>TOTAL REVENUES</t>
  </si>
  <si>
    <t>EXPENSES</t>
  </si>
  <si>
    <t>5005</t>
  </si>
  <si>
    <t>Awards &amp; Recognition</t>
  </si>
  <si>
    <t>5210</t>
  </si>
  <si>
    <t xml:space="preserve">Postage </t>
  </si>
  <si>
    <t>5220</t>
  </si>
  <si>
    <t>Supplies</t>
  </si>
  <si>
    <t>5225</t>
  </si>
  <si>
    <t>Printing</t>
  </si>
  <si>
    <t>5230</t>
  </si>
  <si>
    <t>Insurance</t>
  </si>
  <si>
    <t>5240</t>
  </si>
  <si>
    <t>Management Fee</t>
  </si>
  <si>
    <t>5270</t>
  </si>
  <si>
    <t>Miscellaneous</t>
  </si>
  <si>
    <t>5280</t>
  </si>
  <si>
    <t>Travel</t>
  </si>
  <si>
    <t>5481</t>
  </si>
  <si>
    <t>Existing Technology Contracts</t>
  </si>
  <si>
    <t>5500</t>
  </si>
  <si>
    <t>DC Rent</t>
  </si>
  <si>
    <t>TOTAL EXPENSES</t>
  </si>
  <si>
    <t>OPERATING PROFIT/LOSS</t>
  </si>
  <si>
    <t>5000</t>
  </si>
  <si>
    <t>Membership Services</t>
  </si>
  <si>
    <t>5007</t>
  </si>
  <si>
    <t>Affiliates Advisory Council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</si>
  <si>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</si>
  <si>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</si>
  <si>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</si>
  <si>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</si>
  <si>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</si>
  <si>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</si>
  <si>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</si>
  <si>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</si>
  <si>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</si>
  <si>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</si>
  <si>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</si>
  <si>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</si>
  <si>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5483</t>
  </si>
  <si>
    <t>At Large Chapter Operations</t>
  </si>
  <si>
    <t>3700-000</t>
  </si>
  <si>
    <t>Registrations</t>
  </si>
  <si>
    <t>3707</t>
  </si>
  <si>
    <t>Past President Event Charity</t>
  </si>
  <si>
    <t>3710</t>
  </si>
  <si>
    <t>Sponsorships</t>
  </si>
  <si>
    <t>3760</t>
  </si>
  <si>
    <t>Exhibit Booths</t>
  </si>
  <si>
    <t>5147</t>
  </si>
  <si>
    <t>Convention Committee</t>
  </si>
  <si>
    <t>5211</t>
  </si>
  <si>
    <t>Shipping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</si>
  <si>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</si>
  <si>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</si>
  <si>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</si>
  <si>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</si>
  <si>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</si>
  <si>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</si>
  <si>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</si>
  <si>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</si>
  <si>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</si>
  <si>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</si>
  <si>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</si>
  <si>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</si>
  <si>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</si>
  <si>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</si>
  <si>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</si>
  <si>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</si>
  <si>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</si>
  <si>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</si>
  <si>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</si>
  <si>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</si>
  <si>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5372</t>
  </si>
  <si>
    <t>Site Inspection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</si>
  <si>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</si>
  <si>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</si>
  <si>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</si>
  <si>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</si>
  <si>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</si>
  <si>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</si>
  <si>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</si>
  <si>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</si>
  <si>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</si>
  <si>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</si>
  <si>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</si>
  <si>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</si>
  <si>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</si>
  <si>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</si>
  <si>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</si>
  <si>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</si>
  <si>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3227</t>
  </si>
  <si>
    <t>Outside Marketing Projects</t>
  </si>
  <si>
    <t>3228</t>
  </si>
  <si>
    <t>3451</t>
  </si>
  <si>
    <t>Sponsorship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</si>
  <si>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</si>
  <si>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</si>
  <si>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</si>
  <si>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</si>
  <si>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</si>
  <si>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</si>
  <si>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</si>
  <si>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</si>
  <si>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</si>
  <si>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</si>
  <si>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</si>
  <si>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</si>
  <si>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</si>
  <si>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</si>
  <si>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</si>
  <si>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</si>
  <si>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</si>
  <si>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</si>
  <si>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</si>
  <si>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</si>
  <si>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</si>
  <si>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</si>
  <si>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</si>
  <si>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</si>
  <si>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</si>
  <si>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</si>
  <si>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</si>
  <si>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</si>
  <si>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</si>
  <si>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</si>
  <si>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3401</t>
  </si>
  <si>
    <t>Newsletter Advertising</t>
  </si>
  <si>
    <t>5212</t>
  </si>
  <si>
    <t>Newsletter Postage</t>
  </si>
  <si>
    <t>5345</t>
  </si>
  <si>
    <t>Newsletter Production/Printing</t>
  </si>
  <si>
    <t>3400</t>
  </si>
  <si>
    <t xml:space="preserve">Advertising </t>
  </si>
  <si>
    <t>3700-001</t>
  </si>
  <si>
    <t>Registrations - Cunningham</t>
  </si>
  <si>
    <t>5221</t>
  </si>
  <si>
    <t>Registration Bag</t>
  </si>
  <si>
    <t>5350</t>
  </si>
  <si>
    <t>Marketing</t>
  </si>
  <si>
    <t>5512</t>
  </si>
  <si>
    <t>CVENT - Broker Owner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</si>
  <si>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</si>
  <si>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</si>
  <si>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</si>
  <si>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</si>
  <si>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</si>
  <si>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</si>
  <si>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</si>
  <si>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</si>
  <si>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</si>
  <si>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</si>
  <si>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</si>
  <si>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</si>
  <si>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</si>
  <si>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</si>
  <si>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5852</t>
  </si>
  <si>
    <t>Advocacy-Consultant Fee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</si>
  <si>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</si>
  <si>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</si>
  <si>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</si>
  <si>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</si>
  <si>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</si>
  <si>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</si>
  <si>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Fractional CFO</t>
  </si>
  <si>
    <t>5503</t>
  </si>
  <si>
    <t>Outside Accounting Services</t>
  </si>
  <si>
    <t>Professional Services</t>
  </si>
  <si>
    <t>Total General  Administration</t>
  </si>
  <si>
    <t>Technology Support</t>
  </si>
  <si>
    <t>Events Consultant</t>
  </si>
  <si>
    <t>5319</t>
  </si>
  <si>
    <t>KPI Technology Project</t>
  </si>
  <si>
    <t>5314</t>
  </si>
  <si>
    <t>VA Support to Chapters</t>
  </si>
  <si>
    <t>5313</t>
  </si>
  <si>
    <t>Web Site</t>
  </si>
  <si>
    <t>5307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</si>
  <si>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</si>
  <si>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</si>
  <si>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</si>
  <si>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</si>
  <si>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</si>
  <si>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</si>
  <si>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</si>
  <si>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5245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</si>
  <si>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</si>
  <si>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</si>
  <si>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</si>
  <si>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</si>
  <si>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</si>
  <si>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</si>
  <si>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</si>
  <si>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</si>
  <si>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</si>
  <si>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</si>
  <si>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</si>
  <si>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</si>
  <si>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</si>
  <si>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</si>
  <si>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</si>
  <si>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</si>
  <si>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</si>
  <si>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</si>
  <si>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</si>
  <si>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</si>
  <si>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</si>
  <si>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</si>
  <si>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</si>
  <si>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</si>
  <si>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</si>
  <si>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</si>
  <si>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</si>
  <si>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On-Line Education (Distant Learning)</t>
  </si>
  <si>
    <t>5145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</si>
  <si>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</si>
  <si>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</si>
  <si>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</si>
  <si>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</si>
  <si>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</si>
  <si>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</si>
  <si>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</si>
  <si>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Prior Year Revenue</t>
  </si>
  <si>
    <t>3150</t>
  </si>
  <si>
    <t>Grievance Income</t>
  </si>
  <si>
    <t>3147</t>
  </si>
  <si>
    <t>Annual Partnership Sponsorship</t>
  </si>
  <si>
    <t>Royalties</t>
  </si>
  <si>
    <t>3145</t>
  </si>
  <si>
    <t>3140</t>
  </si>
  <si>
    <t>Unrealized Gain/Loss On Investment</t>
  </si>
  <si>
    <t>3128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</si>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</sst>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3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0" applyFont="1"/>
    <xf numFmtId="39" fontId="0" fillId="0" borderId="0" xfId="0" applyNumberFormat="1"/>
    <xf numFmtId="164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F9E1AA40-26E0-412C-AC5A-F5C00AE14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4F44-6421-467A-9B86-F6D10175E52E}">
  <dimension ref="A1:H88"/>
  <sheetViews>
    <sheetView topLeftCell="A76" workbookViewId="0">
      <selection activeCell="C87" sqref="C87"/>
    </sheetView>
  </sheetViews>
  <sheetFormatPr defaultRowHeight="10.5" x14ac:dyDescent="0.3"/>
  <cols>
    <col min="1" max="1" width="20.83203125" style="12" customWidth="1"/>
    <col min="2" max="2" width="30.83203125" style="12" customWidth="1"/>
    <col min="3" max="4" width="14" style="12" customWidth="1"/>
    <col min="5" max="6" width="16" style="12" customWidth="1"/>
    <col min="7" max="7" width="14" style="12" customWidth="1"/>
    <col min="8" max="8" width="17.33203125" style="12" customWidth="1"/>
    <col min="9" max="16384" width="8.6640625" style="12"/>
  </cols>
  <sheetData>
    <row r="1" spans="1:8" ht="13.15" x14ac:dyDescent="0.4">
      <c r="A1" s="25" t="s">
        <v>0</v>
      </c>
      <c r="D1" s="25" t="s">
        <v>3</v>
      </c>
      <c r="E1" s="25" t="s">
        <v>6</v>
      </c>
      <c r="F1" s="25" t="s">
        <v>6</v>
      </c>
      <c r="G1" s="25" t="s">
        <v>5</v>
      </c>
      <c r="H1" s="25" t="s">
        <v>8</v>
      </c>
    </row>
    <row r="2" spans="1:8" ht="13.15" x14ac:dyDescent="0.4">
      <c r="A2" s="24" t="s">
        <v>1</v>
      </c>
      <c r="B2" s="24" t="s">
        <v>2</v>
      </c>
      <c r="C2" s="24" t="s">
        <v>3</v>
      </c>
      <c r="D2" s="24" t="s">
        <v>5</v>
      </c>
      <c r="E2" s="24" t="s">
        <v>4</v>
      </c>
      <c r="F2" s="24" t="s">
        <v>5</v>
      </c>
      <c r="G2" s="24" t="s">
        <v>7</v>
      </c>
      <c r="H2" s="24" t="s">
        <v>5</v>
      </c>
    </row>
    <row r="3" spans="1:8" ht="12.75" x14ac:dyDescent="0.35">
      <c r="A3" s="14"/>
      <c r="B3" s="14"/>
      <c r="C3" s="13"/>
      <c r="D3" s="13"/>
      <c r="E3" s="13"/>
      <c r="F3" s="13"/>
      <c r="G3" s="13"/>
      <c r="H3" s="13"/>
    </row>
    <row r="4" spans="1:8" ht="13.15" x14ac:dyDescent="0.4">
      <c r="A4" s="28" t="s">
        <v>9</v>
      </c>
      <c r="B4" s="27"/>
      <c r="C4" s="27"/>
      <c r="D4" s="27"/>
      <c r="E4" s="27"/>
      <c r="F4" s="27"/>
      <c r="G4" s="27"/>
      <c r="H4" s="27"/>
    </row>
    <row r="5" spans="1:8" ht="12.75" x14ac:dyDescent="0.35">
      <c r="A5" s="14"/>
      <c r="B5" s="14"/>
      <c r="C5" s="13"/>
      <c r="D5" s="13"/>
      <c r="E5" s="13"/>
      <c r="F5" s="13"/>
      <c r="G5" s="13"/>
      <c r="H5" s="13"/>
    </row>
    <row r="6" spans="1:8" ht="13.15" x14ac:dyDescent="0.4">
      <c r="A6" s="26" t="s">
        <v>264</v>
      </c>
      <c r="B6" s="27"/>
      <c r="C6" s="27"/>
      <c r="D6" s="27"/>
      <c r="E6" s="27"/>
      <c r="F6" s="27"/>
      <c r="G6" s="27"/>
      <c r="H6" s="27"/>
    </row>
    <row r="7" spans="1:8" ht="12.75" x14ac:dyDescent="0.35">
      <c r="A7" s="14"/>
      <c r="B7" s="14"/>
      <c r="C7" s="13"/>
      <c r="D7" s="13"/>
      <c r="E7" s="13"/>
      <c r="F7" s="13"/>
      <c r="G7" s="13"/>
      <c r="H7" s="13"/>
    </row>
    <row r="8" spans="1:8" ht="12.75" x14ac:dyDescent="0.35">
      <c r="A8" s="14" t="s">
        <v>263</v>
      </c>
      <c r="B8" s="14" t="s">
        <v>262</v>
      </c>
      <c r="C8" s="23">
        <v>50485</v>
      </c>
      <c r="D8" s="23">
        <v>50000</v>
      </c>
      <c r="E8" s="23">
        <v>767190</v>
      </c>
      <c r="F8" s="23">
        <v>760000</v>
      </c>
      <c r="G8" s="23">
        <v>7190</v>
      </c>
      <c r="H8" s="23">
        <v>1050000</v>
      </c>
    </row>
    <row r="9" spans="1:8" ht="12.75" x14ac:dyDescent="0.35">
      <c r="A9" s="14" t="s">
        <v>261</v>
      </c>
      <c r="B9" s="14" t="s">
        <v>260</v>
      </c>
      <c r="C9" s="21">
        <v>2960</v>
      </c>
      <c r="D9" s="21">
        <v>3000</v>
      </c>
      <c r="E9" s="21">
        <v>56210</v>
      </c>
      <c r="F9" s="21">
        <v>56000</v>
      </c>
      <c r="G9" s="21">
        <v>210</v>
      </c>
      <c r="H9" s="21">
        <v>90500</v>
      </c>
    </row>
    <row r="10" spans="1:8" ht="12.75" x14ac:dyDescent="0.35">
      <c r="A10" s="14" t="s">
        <v>259</v>
      </c>
      <c r="B10" s="14" t="s">
        <v>258</v>
      </c>
      <c r="C10" s="21">
        <v>3687.5</v>
      </c>
      <c r="D10" s="21">
        <v>4000</v>
      </c>
      <c r="E10" s="21">
        <v>39592.5</v>
      </c>
      <c r="F10" s="21">
        <v>39000</v>
      </c>
      <c r="G10" s="21">
        <v>592.5</v>
      </c>
      <c r="H10" s="21">
        <v>55000</v>
      </c>
    </row>
    <row r="11" spans="1:8" ht="12.75" x14ac:dyDescent="0.35">
      <c r="A11" s="14" t="s">
        <v>257</v>
      </c>
      <c r="B11" s="14" t="s">
        <v>256</v>
      </c>
      <c r="C11" s="21">
        <v>0</v>
      </c>
      <c r="D11" s="21">
        <v>0</v>
      </c>
      <c r="E11" s="21">
        <v>2655</v>
      </c>
      <c r="F11" s="21">
        <v>2620</v>
      </c>
      <c r="G11" s="21">
        <v>35</v>
      </c>
      <c r="H11" s="21">
        <v>2620</v>
      </c>
    </row>
    <row r="12" spans="1:8" ht="12.75" x14ac:dyDescent="0.35">
      <c r="A12" s="14" t="s">
        <v>255</v>
      </c>
      <c r="B12" s="14" t="s">
        <v>254</v>
      </c>
      <c r="C12" s="21">
        <v>14610</v>
      </c>
      <c r="D12" s="21">
        <v>15000</v>
      </c>
      <c r="E12" s="21">
        <v>171117.5</v>
      </c>
      <c r="F12" s="21">
        <v>171000</v>
      </c>
      <c r="G12" s="21">
        <v>117.5</v>
      </c>
      <c r="H12" s="21">
        <v>225000</v>
      </c>
    </row>
    <row r="13" spans="1:8" ht="12.75" x14ac:dyDescent="0.35">
      <c r="A13" s="14" t="s">
        <v>253</v>
      </c>
      <c r="B13" s="14" t="s">
        <v>252</v>
      </c>
      <c r="C13" s="21">
        <v>6875</v>
      </c>
      <c r="D13" s="21">
        <v>7000</v>
      </c>
      <c r="E13" s="21">
        <v>37250</v>
      </c>
      <c r="F13" s="21">
        <v>44000</v>
      </c>
      <c r="G13" s="21">
        <v>-6750</v>
      </c>
      <c r="H13" s="21">
        <v>59500</v>
      </c>
    </row>
    <row r="14" spans="1:8" ht="12.75" x14ac:dyDescent="0.35">
      <c r="A14" s="14" t="s">
        <v>251</v>
      </c>
      <c r="B14" s="14" t="s">
        <v>250</v>
      </c>
      <c r="C14" s="20">
        <v>165</v>
      </c>
      <c r="D14" s="20">
        <v>100</v>
      </c>
      <c r="E14" s="20">
        <v>1155</v>
      </c>
      <c r="F14" s="20">
        <v>1300</v>
      </c>
      <c r="G14" s="20">
        <v>-145</v>
      </c>
      <c r="H14" s="20">
        <v>1980</v>
      </c>
    </row>
    <row r="15" spans="1:8" ht="13.15" x14ac:dyDescent="0.4">
      <c r="A15" s="16"/>
      <c r="B15" s="16" t="s">
        <v>249</v>
      </c>
      <c r="C15" s="18">
        <v>78782.5</v>
      </c>
      <c r="D15" s="18">
        <v>79100</v>
      </c>
      <c r="E15" s="18">
        <v>1075170</v>
      </c>
      <c r="F15" s="18">
        <v>1073920</v>
      </c>
      <c r="G15" s="18">
        <v>1250</v>
      </c>
      <c r="H15" s="18">
        <v>1484600</v>
      </c>
    </row>
    <row r="16" spans="1:8" ht="13.15" x14ac:dyDescent="0.4">
      <c r="A16" s="16"/>
      <c r="B16" s="16"/>
      <c r="C16" s="17"/>
      <c r="D16" s="17"/>
      <c r="E16" s="17"/>
      <c r="F16" s="17"/>
      <c r="G16" s="17"/>
      <c r="H16" s="17"/>
    </row>
    <row r="17" spans="1:8" ht="13.15" x14ac:dyDescent="0.4">
      <c r="A17" s="26" t="s">
        <v>234</v>
      </c>
      <c r="B17" s="27"/>
      <c r="C17" s="27"/>
      <c r="D17" s="27"/>
      <c r="E17" s="27"/>
      <c r="F17" s="27"/>
      <c r="G17" s="27"/>
      <c r="H17" s="27"/>
    </row>
    <row r="18" spans="1:8" ht="12.75" x14ac:dyDescent="0.35">
      <c r="A18" s="14"/>
      <c r="B18" s="14"/>
      <c r="C18" s="13"/>
      <c r="D18" s="13"/>
      <c r="E18" s="13"/>
      <c r="F18" s="13"/>
      <c r="G18" s="13"/>
      <c r="H18" s="13"/>
    </row>
    <row r="19" spans="1:8" ht="12.75" x14ac:dyDescent="0.35">
      <c r="A19" s="14" t="s">
        <v>248</v>
      </c>
      <c r="B19" s="14" t="s">
        <v>247</v>
      </c>
      <c r="C19" s="21">
        <v>14035.44</v>
      </c>
      <c r="D19" s="21">
        <v>14000</v>
      </c>
      <c r="E19" s="21">
        <v>19611.150000000001</v>
      </c>
      <c r="F19" s="21">
        <v>19500</v>
      </c>
      <c r="G19" s="21">
        <v>111.15</v>
      </c>
      <c r="H19" s="21">
        <v>200000</v>
      </c>
    </row>
    <row r="20" spans="1:8" ht="12.75" x14ac:dyDescent="0.35">
      <c r="A20" s="14" t="s">
        <v>246</v>
      </c>
      <c r="B20" s="14" t="s">
        <v>245</v>
      </c>
      <c r="C20" s="21">
        <v>3899.56</v>
      </c>
      <c r="D20" s="21">
        <v>0</v>
      </c>
      <c r="E20" s="21">
        <v>7380.23</v>
      </c>
      <c r="F20" s="21">
        <v>0</v>
      </c>
      <c r="G20" s="21">
        <v>7380.23</v>
      </c>
      <c r="H20" s="21">
        <v>0</v>
      </c>
    </row>
    <row r="21" spans="1:8" ht="12.75" x14ac:dyDescent="0.35">
      <c r="A21" s="14" t="s">
        <v>244</v>
      </c>
      <c r="B21" s="14" t="s">
        <v>243</v>
      </c>
      <c r="C21" s="21">
        <v>66568.929999999993</v>
      </c>
      <c r="D21" s="21">
        <v>0</v>
      </c>
      <c r="E21" s="21">
        <v>136987.45000000001</v>
      </c>
      <c r="F21" s="21">
        <v>0</v>
      </c>
      <c r="G21" s="21">
        <v>136987.45000000001</v>
      </c>
      <c r="H21" s="21">
        <v>0</v>
      </c>
    </row>
    <row r="22" spans="1:8" ht="12.75" x14ac:dyDescent="0.35">
      <c r="A22" s="14" t="s">
        <v>242</v>
      </c>
      <c r="B22" s="14" t="s">
        <v>27</v>
      </c>
      <c r="C22" s="21">
        <v>-3.74</v>
      </c>
      <c r="D22" s="21">
        <v>0</v>
      </c>
      <c r="E22" s="21">
        <v>0.43</v>
      </c>
      <c r="F22" s="21">
        <v>0</v>
      </c>
      <c r="G22" s="21">
        <v>0.43</v>
      </c>
      <c r="H22" s="21">
        <v>750</v>
      </c>
    </row>
    <row r="23" spans="1:8" ht="12.75" x14ac:dyDescent="0.35">
      <c r="A23" s="14" t="s">
        <v>241</v>
      </c>
      <c r="B23" s="14" t="s">
        <v>240</v>
      </c>
      <c r="C23" s="21">
        <v>181325.84</v>
      </c>
      <c r="D23" s="21">
        <v>180000</v>
      </c>
      <c r="E23" s="21">
        <v>181325.84</v>
      </c>
      <c r="F23" s="21">
        <v>180000</v>
      </c>
      <c r="G23" s="21">
        <v>1325.84</v>
      </c>
      <c r="H23" s="21">
        <v>450000</v>
      </c>
    </row>
    <row r="24" spans="1:8" ht="12.75" x14ac:dyDescent="0.35">
      <c r="A24" s="14" t="s">
        <v>10</v>
      </c>
      <c r="B24" s="14" t="s">
        <v>239</v>
      </c>
      <c r="C24" s="21">
        <v>29000</v>
      </c>
      <c r="D24" s="21">
        <v>30000</v>
      </c>
      <c r="E24" s="21">
        <v>124000</v>
      </c>
      <c r="F24" s="21">
        <v>124000</v>
      </c>
      <c r="G24" s="21">
        <v>0</v>
      </c>
      <c r="H24" s="21">
        <v>171000</v>
      </c>
    </row>
    <row r="25" spans="1:8" ht="12.75" x14ac:dyDescent="0.35">
      <c r="A25" s="14" t="s">
        <v>238</v>
      </c>
      <c r="B25" s="14" t="s">
        <v>237</v>
      </c>
      <c r="C25" s="21">
        <v>0</v>
      </c>
      <c r="D25" s="21">
        <v>0</v>
      </c>
      <c r="E25" s="21">
        <v>300</v>
      </c>
      <c r="F25" s="21">
        <v>0</v>
      </c>
      <c r="G25" s="21">
        <v>300</v>
      </c>
      <c r="H25" s="21">
        <v>0</v>
      </c>
    </row>
    <row r="26" spans="1:8" ht="12.75" x14ac:dyDescent="0.35">
      <c r="A26" s="14" t="s">
        <v>236</v>
      </c>
      <c r="B26" s="14" t="s">
        <v>235</v>
      </c>
      <c r="C26" s="20">
        <v>0</v>
      </c>
      <c r="D26" s="20">
        <v>0</v>
      </c>
      <c r="E26" s="20">
        <v>-405</v>
      </c>
      <c r="F26" s="20">
        <v>0</v>
      </c>
      <c r="G26" s="20">
        <v>-405</v>
      </c>
      <c r="H26" s="20">
        <v>0</v>
      </c>
    </row>
    <row r="27" spans="1:8" ht="13.15" x14ac:dyDescent="0.4">
      <c r="A27" s="16"/>
      <c r="B27" s="16" t="s">
        <v>234</v>
      </c>
      <c r="C27" s="18">
        <v>294826.03000000003</v>
      </c>
      <c r="D27" s="18">
        <v>224000</v>
      </c>
      <c r="E27" s="18">
        <v>469200.1</v>
      </c>
      <c r="F27" s="18">
        <v>323500</v>
      </c>
      <c r="G27" s="18">
        <v>145700.1</v>
      </c>
      <c r="H27" s="18">
        <v>821750</v>
      </c>
    </row>
    <row r="28" spans="1:8" ht="13.15" x14ac:dyDescent="0.4">
      <c r="A28" s="16"/>
      <c r="B28" s="16"/>
      <c r="C28" s="22"/>
      <c r="D28" s="22"/>
      <c r="E28" s="22"/>
      <c r="F28" s="22"/>
      <c r="G28" s="22"/>
      <c r="H28" s="22"/>
    </row>
    <row r="29" spans="1:8" ht="13.15" x14ac:dyDescent="0.4">
      <c r="A29" s="16"/>
      <c r="B29" s="16" t="s">
        <v>233</v>
      </c>
      <c r="C29" s="18">
        <v>373608.53</v>
      </c>
      <c r="D29" s="18">
        <v>303100</v>
      </c>
      <c r="E29" s="18">
        <v>1544370.1</v>
      </c>
      <c r="F29" s="18">
        <v>1397420</v>
      </c>
      <c r="G29" s="18">
        <v>146950.1</v>
      </c>
      <c r="H29" s="18">
        <v>2306350</v>
      </c>
    </row>
    <row r="30" spans="1:8" ht="13.15" x14ac:dyDescent="0.4">
      <c r="A30" s="16"/>
      <c r="B30" s="16"/>
      <c r="C30" s="17"/>
      <c r="D30" s="17"/>
      <c r="E30" s="17"/>
      <c r="F30" s="17"/>
      <c r="G30" s="17"/>
      <c r="H30" s="17"/>
    </row>
    <row r="31" spans="1:8" ht="13.15" x14ac:dyDescent="0.4">
      <c r="A31" s="28" t="s">
        <v>13</v>
      </c>
      <c r="B31" s="27"/>
      <c r="C31" s="27"/>
      <c r="D31" s="27"/>
      <c r="E31" s="27"/>
      <c r="F31" s="27"/>
      <c r="G31" s="27"/>
      <c r="H31" s="27"/>
    </row>
    <row r="32" spans="1:8" ht="12.75" x14ac:dyDescent="0.35">
      <c r="A32" s="14"/>
      <c r="B32" s="14"/>
      <c r="C32" s="13"/>
      <c r="D32" s="13"/>
      <c r="E32" s="13"/>
      <c r="F32" s="13"/>
      <c r="G32" s="13"/>
      <c r="H32" s="13"/>
    </row>
    <row r="33" spans="1:8" ht="13.15" x14ac:dyDescent="0.4">
      <c r="A33" s="26" t="s">
        <v>232</v>
      </c>
      <c r="B33" s="27"/>
      <c r="C33" s="27"/>
      <c r="D33" s="27"/>
      <c r="E33" s="27"/>
      <c r="F33" s="27"/>
      <c r="G33" s="27"/>
      <c r="H33" s="27"/>
    </row>
    <row r="34" spans="1:8" ht="12.75" x14ac:dyDescent="0.35">
      <c r="A34" s="14"/>
      <c r="B34" s="14"/>
      <c r="C34" s="13"/>
      <c r="D34" s="13"/>
      <c r="E34" s="13"/>
      <c r="F34" s="13"/>
      <c r="G34" s="13"/>
      <c r="H34" s="13"/>
    </row>
    <row r="35" spans="1:8" ht="12.75" x14ac:dyDescent="0.35">
      <c r="A35" s="14" t="s">
        <v>231</v>
      </c>
      <c r="B35" s="14" t="s">
        <v>230</v>
      </c>
      <c r="C35" s="21">
        <v>2783.53</v>
      </c>
      <c r="D35" s="21">
        <v>2700</v>
      </c>
      <c r="E35" s="21">
        <v>2783.53</v>
      </c>
      <c r="F35" s="21">
        <v>2700</v>
      </c>
      <c r="G35" s="21">
        <v>83.53</v>
      </c>
      <c r="H35" s="21">
        <v>16000</v>
      </c>
    </row>
    <row r="36" spans="1:8" ht="12.75" x14ac:dyDescent="0.35">
      <c r="A36" s="14" t="s">
        <v>229</v>
      </c>
      <c r="B36" s="14" t="s">
        <v>228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20000</v>
      </c>
    </row>
    <row r="37" spans="1:8" ht="12.75" x14ac:dyDescent="0.35">
      <c r="A37" s="14" t="s">
        <v>227</v>
      </c>
      <c r="B37" s="14" t="s">
        <v>226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1000</v>
      </c>
    </row>
    <row r="38" spans="1:8" ht="13.15" x14ac:dyDescent="0.4">
      <c r="A38" s="16"/>
      <c r="B38" s="16" t="s">
        <v>225</v>
      </c>
      <c r="C38" s="18">
        <v>2783.53</v>
      </c>
      <c r="D38" s="18">
        <v>2700</v>
      </c>
      <c r="E38" s="18">
        <v>2783.53</v>
      </c>
      <c r="F38" s="18">
        <v>2700</v>
      </c>
      <c r="G38" s="18">
        <v>83.53</v>
      </c>
      <c r="H38" s="18">
        <v>37000</v>
      </c>
    </row>
    <row r="39" spans="1:8" ht="13.15" x14ac:dyDescent="0.4">
      <c r="A39" s="16"/>
      <c r="B39" s="16"/>
      <c r="C39" s="17"/>
      <c r="D39" s="17"/>
      <c r="E39" s="17"/>
      <c r="F39" s="17"/>
      <c r="G39" s="17"/>
      <c r="H39" s="17"/>
    </row>
    <row r="40" spans="1:8" ht="13.15" x14ac:dyDescent="0.4">
      <c r="A40" s="26" t="s">
        <v>224</v>
      </c>
      <c r="B40" s="27"/>
      <c r="C40" s="27"/>
      <c r="D40" s="27"/>
      <c r="E40" s="27"/>
      <c r="F40" s="27"/>
      <c r="G40" s="27"/>
      <c r="H40" s="27"/>
    </row>
    <row r="41" spans="1:8" ht="12.75" x14ac:dyDescent="0.35">
      <c r="A41" s="14"/>
      <c r="B41" s="14"/>
      <c r="C41" s="13"/>
      <c r="D41" s="13"/>
      <c r="E41" s="13"/>
      <c r="F41" s="13"/>
      <c r="G41" s="13"/>
      <c r="H41" s="13"/>
    </row>
    <row r="42" spans="1:8" ht="12.75" x14ac:dyDescent="0.35">
      <c r="A42" s="14" t="s">
        <v>223</v>
      </c>
      <c r="B42" s="14" t="s">
        <v>222</v>
      </c>
      <c r="C42" s="21">
        <v>305.36</v>
      </c>
      <c r="D42" s="21">
        <v>300</v>
      </c>
      <c r="E42" s="21">
        <v>305.36</v>
      </c>
      <c r="F42" s="21">
        <v>300</v>
      </c>
      <c r="G42" s="21">
        <v>5.36</v>
      </c>
      <c r="H42" s="21">
        <v>17000</v>
      </c>
    </row>
    <row r="43" spans="1:8" ht="12.75" x14ac:dyDescent="0.35">
      <c r="A43" s="14" t="s">
        <v>221</v>
      </c>
      <c r="B43" s="14" t="s">
        <v>220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15000</v>
      </c>
    </row>
    <row r="44" spans="1:8" ht="12.75" x14ac:dyDescent="0.35">
      <c r="A44" s="14" t="s">
        <v>219</v>
      </c>
      <c r="B44" s="14" t="s">
        <v>218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1500</v>
      </c>
    </row>
    <row r="45" spans="1:8" ht="12.75" x14ac:dyDescent="0.35">
      <c r="A45" s="14" t="s">
        <v>217</v>
      </c>
      <c r="B45" s="14" t="s">
        <v>216</v>
      </c>
      <c r="C45" s="21">
        <v>1651.78</v>
      </c>
      <c r="D45" s="21">
        <v>1600</v>
      </c>
      <c r="E45" s="21">
        <v>1651.78</v>
      </c>
      <c r="F45" s="21">
        <v>1600</v>
      </c>
      <c r="G45" s="21">
        <v>51.78</v>
      </c>
      <c r="H45" s="21">
        <v>15000</v>
      </c>
    </row>
    <row r="46" spans="1:8" ht="12.75" x14ac:dyDescent="0.35">
      <c r="A46" s="14" t="s">
        <v>215</v>
      </c>
      <c r="B46" s="14" t="s">
        <v>214</v>
      </c>
      <c r="C46" s="21">
        <v>0</v>
      </c>
      <c r="D46" s="21">
        <v>0</v>
      </c>
      <c r="E46" s="21">
        <v>-1976.21</v>
      </c>
      <c r="F46" s="21">
        <v>0</v>
      </c>
      <c r="G46" s="21">
        <v>-1976.21</v>
      </c>
      <c r="H46" s="21">
        <v>60000</v>
      </c>
    </row>
    <row r="47" spans="1:8" ht="12.75" x14ac:dyDescent="0.35">
      <c r="A47" s="14" t="s">
        <v>213</v>
      </c>
      <c r="B47" s="14" t="s">
        <v>212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13000</v>
      </c>
    </row>
    <row r="48" spans="1:8" ht="12.75" x14ac:dyDescent="0.35">
      <c r="A48" s="14" t="s">
        <v>211</v>
      </c>
      <c r="B48" s="14" t="s">
        <v>210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13000</v>
      </c>
    </row>
    <row r="49" spans="1:8" ht="12.75" x14ac:dyDescent="0.35">
      <c r="A49" s="14" t="s">
        <v>209</v>
      </c>
      <c r="B49" s="14" t="s">
        <v>208</v>
      </c>
      <c r="C49" s="21">
        <v>636.84</v>
      </c>
      <c r="D49" s="21">
        <v>600</v>
      </c>
      <c r="E49" s="21">
        <v>666.88</v>
      </c>
      <c r="F49" s="21">
        <v>700</v>
      </c>
      <c r="G49" s="21">
        <v>-33.119999999999997</v>
      </c>
      <c r="H49" s="21">
        <v>13000</v>
      </c>
    </row>
    <row r="50" spans="1:8" ht="12.75" x14ac:dyDescent="0.35">
      <c r="A50" s="14" t="s">
        <v>207</v>
      </c>
      <c r="B50" s="14" t="s">
        <v>206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20000</v>
      </c>
    </row>
    <row r="51" spans="1:8" ht="12.75" x14ac:dyDescent="0.35">
      <c r="A51" s="14" t="s">
        <v>205</v>
      </c>
      <c r="B51" s="14" t="s">
        <v>204</v>
      </c>
      <c r="C51" s="20">
        <v>13233.68</v>
      </c>
      <c r="D51" s="20">
        <v>13000</v>
      </c>
      <c r="E51" s="20">
        <v>13233.68</v>
      </c>
      <c r="F51" s="20">
        <v>13000</v>
      </c>
      <c r="G51" s="20">
        <v>233.68</v>
      </c>
      <c r="H51" s="20">
        <v>24000</v>
      </c>
    </row>
    <row r="52" spans="1:8" ht="13.15" x14ac:dyDescent="0.4">
      <c r="A52" s="16"/>
      <c r="B52" s="16" t="s">
        <v>203</v>
      </c>
      <c r="C52" s="18">
        <v>15827.66</v>
      </c>
      <c r="D52" s="18">
        <v>15500</v>
      </c>
      <c r="E52" s="18">
        <v>13881.49</v>
      </c>
      <c r="F52" s="18">
        <v>15600</v>
      </c>
      <c r="G52" s="18">
        <v>-1718.51</v>
      </c>
      <c r="H52" s="18">
        <v>191500</v>
      </c>
    </row>
    <row r="53" spans="1:8" ht="13.15" x14ac:dyDescent="0.4">
      <c r="A53" s="16"/>
      <c r="B53" s="16"/>
      <c r="C53" s="17"/>
      <c r="D53" s="17"/>
      <c r="E53" s="17"/>
      <c r="F53" s="17"/>
      <c r="G53" s="17"/>
      <c r="H53" s="17"/>
    </row>
    <row r="54" spans="1:8" ht="13.15" x14ac:dyDescent="0.4">
      <c r="A54" s="28" t="s">
        <v>202</v>
      </c>
      <c r="B54" s="27"/>
      <c r="C54" s="27"/>
      <c r="D54" s="27"/>
      <c r="E54" s="27"/>
      <c r="F54" s="27"/>
      <c r="G54" s="27"/>
      <c r="H54" s="27"/>
    </row>
    <row r="55" spans="1:8" ht="13.15" x14ac:dyDescent="0.4">
      <c r="A55" s="16"/>
      <c r="B55" s="16"/>
      <c r="C55" s="17"/>
      <c r="D55" s="17"/>
      <c r="E55" s="17"/>
      <c r="F55" s="17"/>
      <c r="G55" s="17"/>
      <c r="H55" s="17"/>
    </row>
    <row r="56" spans="1:8" ht="13.15" x14ac:dyDescent="0.4">
      <c r="A56" s="26" t="s">
        <v>201</v>
      </c>
      <c r="B56" s="27"/>
      <c r="C56" s="27"/>
      <c r="D56" s="27"/>
      <c r="E56" s="27"/>
      <c r="F56" s="27"/>
      <c r="G56" s="27"/>
      <c r="H56" s="27"/>
    </row>
    <row r="57" spans="1:8" ht="12.75" x14ac:dyDescent="0.35">
      <c r="A57" s="14"/>
      <c r="B57" s="14"/>
      <c r="C57" s="13"/>
      <c r="D57" s="13"/>
      <c r="E57" s="13"/>
      <c r="F57" s="13"/>
      <c r="G57" s="13"/>
      <c r="H57" s="13"/>
    </row>
    <row r="58" spans="1:8" ht="12.75" x14ac:dyDescent="0.35">
      <c r="A58" s="14" t="s">
        <v>14</v>
      </c>
      <c r="B58" s="14" t="s">
        <v>200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2000</v>
      </c>
    </row>
    <row r="59" spans="1:8" ht="12.75" x14ac:dyDescent="0.35">
      <c r="A59" s="14" t="s">
        <v>16</v>
      </c>
      <c r="B59" s="14" t="s">
        <v>17</v>
      </c>
      <c r="C59" s="21">
        <v>16.420000000000002</v>
      </c>
      <c r="D59" s="21">
        <v>16</v>
      </c>
      <c r="E59" s="21">
        <v>53.28</v>
      </c>
      <c r="F59" s="21">
        <v>53</v>
      </c>
      <c r="G59" s="21">
        <v>0.28000000000000003</v>
      </c>
      <c r="H59" s="21">
        <v>200</v>
      </c>
    </row>
    <row r="60" spans="1:8" ht="12.75" x14ac:dyDescent="0.35">
      <c r="A60" s="14" t="s">
        <v>18</v>
      </c>
      <c r="B60" s="14" t="s">
        <v>19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1000</v>
      </c>
    </row>
    <row r="61" spans="1:8" ht="12.75" x14ac:dyDescent="0.35">
      <c r="A61" s="14" t="s">
        <v>20</v>
      </c>
      <c r="B61" s="14" t="s">
        <v>199</v>
      </c>
      <c r="C61" s="21">
        <v>167.22</v>
      </c>
      <c r="D61" s="21">
        <v>170</v>
      </c>
      <c r="E61" s="21">
        <v>225.89</v>
      </c>
      <c r="F61" s="21">
        <v>230</v>
      </c>
      <c r="G61" s="21">
        <v>-4.1100000000000003</v>
      </c>
      <c r="H61" s="21">
        <v>3000</v>
      </c>
    </row>
    <row r="62" spans="1:8" ht="12.75" x14ac:dyDescent="0.35">
      <c r="A62" s="14" t="s">
        <v>22</v>
      </c>
      <c r="B62" s="14" t="s">
        <v>23</v>
      </c>
      <c r="C62" s="21">
        <v>292.67</v>
      </c>
      <c r="D62" s="21">
        <v>583.33000000000004</v>
      </c>
      <c r="E62" s="21">
        <v>585.34</v>
      </c>
      <c r="F62" s="21">
        <v>1166.6600000000001</v>
      </c>
      <c r="G62" s="21">
        <v>-581.32000000000005</v>
      </c>
      <c r="H62" s="21">
        <v>7000</v>
      </c>
    </row>
    <row r="63" spans="1:8" ht="12.75" x14ac:dyDescent="0.35">
      <c r="A63" s="14" t="s">
        <v>24</v>
      </c>
      <c r="B63" s="14" t="s">
        <v>25</v>
      </c>
      <c r="C63" s="21">
        <v>80203.12</v>
      </c>
      <c r="D63" s="21">
        <v>80024.36</v>
      </c>
      <c r="E63" s="21">
        <v>160227.49</v>
      </c>
      <c r="F63" s="21">
        <v>160048.72</v>
      </c>
      <c r="G63" s="21">
        <v>178.77</v>
      </c>
      <c r="H63" s="21">
        <v>960292.32</v>
      </c>
    </row>
    <row r="64" spans="1:8" ht="12.75" x14ac:dyDescent="0.35">
      <c r="A64" s="14" t="s">
        <v>198</v>
      </c>
      <c r="B64" s="14" t="s">
        <v>197</v>
      </c>
      <c r="C64" s="21">
        <v>0</v>
      </c>
      <c r="D64" s="21">
        <v>0</v>
      </c>
      <c r="E64" s="21">
        <v>35</v>
      </c>
      <c r="F64" s="21">
        <v>35</v>
      </c>
      <c r="G64" s="21">
        <v>0</v>
      </c>
      <c r="H64" s="21">
        <v>500</v>
      </c>
    </row>
    <row r="65" spans="1:8" ht="12.75" x14ac:dyDescent="0.35">
      <c r="A65" s="14" t="s">
        <v>196</v>
      </c>
      <c r="B65" s="14" t="s">
        <v>195</v>
      </c>
      <c r="C65" s="21">
        <v>0</v>
      </c>
      <c r="D65" s="21">
        <v>0</v>
      </c>
      <c r="E65" s="21">
        <v>240.43</v>
      </c>
      <c r="F65" s="21">
        <v>150</v>
      </c>
      <c r="G65" s="21">
        <v>90.43</v>
      </c>
      <c r="H65" s="21">
        <v>150</v>
      </c>
    </row>
    <row r="66" spans="1:8" ht="12.75" x14ac:dyDescent="0.35">
      <c r="A66" s="14" t="s">
        <v>194</v>
      </c>
      <c r="B66" s="14" t="s">
        <v>193</v>
      </c>
      <c r="C66" s="21">
        <v>58678.92</v>
      </c>
      <c r="D66" s="21">
        <v>60000</v>
      </c>
      <c r="E66" s="21">
        <v>70274.52</v>
      </c>
      <c r="F66" s="21">
        <v>70000</v>
      </c>
      <c r="G66" s="21">
        <v>274.52</v>
      </c>
      <c r="H66" s="21">
        <v>210000</v>
      </c>
    </row>
    <row r="67" spans="1:8" ht="12.75" x14ac:dyDescent="0.35">
      <c r="A67" s="14" t="s">
        <v>192</v>
      </c>
      <c r="B67" s="14" t="s">
        <v>191</v>
      </c>
      <c r="C67" s="21">
        <v>144.21</v>
      </c>
      <c r="D67" s="21">
        <v>166.67</v>
      </c>
      <c r="E67" s="21">
        <v>288.42</v>
      </c>
      <c r="F67" s="21">
        <v>333.34</v>
      </c>
      <c r="G67" s="21">
        <v>-44.92</v>
      </c>
      <c r="H67" s="21">
        <v>2000</v>
      </c>
    </row>
    <row r="68" spans="1:8" ht="12.75" x14ac:dyDescent="0.35">
      <c r="A68" s="14" t="s">
        <v>26</v>
      </c>
      <c r="B68" s="14" t="s">
        <v>27</v>
      </c>
      <c r="C68" s="21">
        <v>0</v>
      </c>
      <c r="D68" s="21">
        <v>0</v>
      </c>
      <c r="E68" s="21">
        <v>135</v>
      </c>
      <c r="F68" s="21">
        <v>0</v>
      </c>
      <c r="G68" s="21">
        <v>135</v>
      </c>
      <c r="H68" s="21">
        <v>200</v>
      </c>
    </row>
    <row r="69" spans="1:8" ht="12.75" x14ac:dyDescent="0.35">
      <c r="A69" s="14" t="s">
        <v>28</v>
      </c>
      <c r="B69" s="14" t="s">
        <v>29</v>
      </c>
      <c r="C69" s="21">
        <v>0</v>
      </c>
      <c r="D69" s="21">
        <v>0</v>
      </c>
      <c r="E69" s="21">
        <v>39.5</v>
      </c>
      <c r="F69" s="21">
        <v>0</v>
      </c>
      <c r="G69" s="21">
        <v>39.5</v>
      </c>
      <c r="H69" s="21">
        <v>200</v>
      </c>
    </row>
    <row r="70" spans="1:8" ht="12.75" x14ac:dyDescent="0.35">
      <c r="A70" s="14" t="s">
        <v>190</v>
      </c>
      <c r="B70" s="14" t="s">
        <v>189</v>
      </c>
      <c r="C70" s="21">
        <v>799.76</v>
      </c>
      <c r="D70" s="21">
        <v>800</v>
      </c>
      <c r="E70" s="21">
        <v>1463.33</v>
      </c>
      <c r="F70" s="21">
        <v>1400</v>
      </c>
      <c r="G70" s="21">
        <v>63.33</v>
      </c>
      <c r="H70" s="21">
        <v>20000</v>
      </c>
    </row>
    <row r="71" spans="1:8" ht="12.75" x14ac:dyDescent="0.35">
      <c r="A71" s="14" t="s">
        <v>188</v>
      </c>
      <c r="B71" s="14" t="s">
        <v>187</v>
      </c>
      <c r="C71" s="21">
        <v>9090.09</v>
      </c>
      <c r="D71" s="21">
        <v>9000</v>
      </c>
      <c r="E71" s="21">
        <v>18031.080000000002</v>
      </c>
      <c r="F71" s="21">
        <v>18000</v>
      </c>
      <c r="G71" s="21">
        <v>31.08</v>
      </c>
      <c r="H71" s="21">
        <v>135000</v>
      </c>
    </row>
    <row r="72" spans="1:8" ht="12.75" x14ac:dyDescent="0.35">
      <c r="A72" s="14" t="s">
        <v>186</v>
      </c>
      <c r="B72" s="14" t="s">
        <v>185</v>
      </c>
      <c r="C72" s="21">
        <v>2600</v>
      </c>
      <c r="D72" s="21">
        <v>2600</v>
      </c>
      <c r="E72" s="21">
        <v>2600</v>
      </c>
      <c r="F72" s="21">
        <v>2600</v>
      </c>
      <c r="G72" s="21">
        <v>0</v>
      </c>
      <c r="H72" s="21">
        <v>84000</v>
      </c>
    </row>
    <row r="73" spans="1:8" ht="12.75" x14ac:dyDescent="0.35">
      <c r="A73" s="14" t="s">
        <v>184</v>
      </c>
      <c r="B73" s="14" t="s">
        <v>183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210000</v>
      </c>
    </row>
    <row r="74" spans="1:8" ht="12.75" x14ac:dyDescent="0.35">
      <c r="A74" s="14" t="s">
        <v>30</v>
      </c>
      <c r="B74" s="14" t="s">
        <v>182</v>
      </c>
      <c r="C74" s="20">
        <v>468</v>
      </c>
      <c r="D74" s="20">
        <v>0</v>
      </c>
      <c r="E74" s="20">
        <v>468</v>
      </c>
      <c r="F74" s="20">
        <v>0</v>
      </c>
      <c r="G74" s="20">
        <v>468</v>
      </c>
      <c r="H74" s="20">
        <v>0</v>
      </c>
    </row>
    <row r="75" spans="1:8" ht="13.15" x14ac:dyDescent="0.4">
      <c r="A75" s="16"/>
      <c r="B75" s="16" t="s">
        <v>181</v>
      </c>
      <c r="C75" s="18">
        <v>152460.41</v>
      </c>
      <c r="D75" s="18">
        <v>153360.35999999999</v>
      </c>
      <c r="E75" s="18">
        <v>254667.28</v>
      </c>
      <c r="F75" s="18">
        <v>254016.72</v>
      </c>
      <c r="G75" s="18">
        <v>650.55999999999995</v>
      </c>
      <c r="H75" s="18">
        <v>1635542.32</v>
      </c>
    </row>
    <row r="76" spans="1:8" ht="13.15" x14ac:dyDescent="0.4">
      <c r="A76" s="16"/>
      <c r="B76" s="16"/>
      <c r="C76" s="17"/>
      <c r="D76" s="17"/>
      <c r="E76" s="17"/>
      <c r="F76" s="17"/>
      <c r="G76" s="17"/>
      <c r="H76" s="17"/>
    </row>
    <row r="77" spans="1:8" ht="13.15" x14ac:dyDescent="0.4">
      <c r="A77" s="26" t="s">
        <v>180</v>
      </c>
      <c r="B77" s="27"/>
      <c r="C77" s="27"/>
      <c r="D77" s="27"/>
      <c r="E77" s="27"/>
      <c r="F77" s="27"/>
      <c r="G77" s="27"/>
      <c r="H77" s="27"/>
    </row>
    <row r="78" spans="1:8" ht="12.75" x14ac:dyDescent="0.35">
      <c r="A78" s="14"/>
      <c r="B78" s="14"/>
      <c r="C78" s="13"/>
      <c r="D78" s="13"/>
      <c r="E78" s="13"/>
      <c r="F78" s="13"/>
      <c r="G78" s="13"/>
      <c r="H78" s="13"/>
    </row>
    <row r="79" spans="1:8" ht="12.75" x14ac:dyDescent="0.35">
      <c r="A79" s="14" t="s">
        <v>32</v>
      </c>
      <c r="B79" s="14" t="s">
        <v>179</v>
      </c>
      <c r="C79" s="21">
        <v>-5000</v>
      </c>
      <c r="D79" s="21">
        <v>0</v>
      </c>
      <c r="E79" s="21">
        <v>0</v>
      </c>
      <c r="F79" s="21">
        <v>0</v>
      </c>
      <c r="G79" s="21">
        <v>0</v>
      </c>
      <c r="H79" s="21">
        <v>20000</v>
      </c>
    </row>
    <row r="80" spans="1:8" ht="12.75" x14ac:dyDescent="0.35">
      <c r="A80" s="14" t="s">
        <v>178</v>
      </c>
      <c r="B80" s="14" t="s">
        <v>177</v>
      </c>
      <c r="C80" s="21">
        <v>10000</v>
      </c>
      <c r="D80" s="21">
        <v>5000</v>
      </c>
      <c r="E80" s="21">
        <v>10000</v>
      </c>
      <c r="F80" s="21">
        <v>10000</v>
      </c>
      <c r="G80" s="21">
        <v>0</v>
      </c>
      <c r="H80" s="21">
        <v>60000</v>
      </c>
    </row>
    <row r="81" spans="1:8" ht="12.75" x14ac:dyDescent="0.35">
      <c r="A81" s="14" t="s">
        <v>176</v>
      </c>
      <c r="B81" s="14" t="s">
        <v>175</v>
      </c>
      <c r="C81" s="21">
        <v>5437.5</v>
      </c>
      <c r="D81" s="21">
        <v>5500</v>
      </c>
      <c r="E81" s="21">
        <v>7437.5</v>
      </c>
      <c r="F81" s="21">
        <v>7500</v>
      </c>
      <c r="G81" s="21">
        <v>-62.5</v>
      </c>
      <c r="H81" s="21">
        <v>40000</v>
      </c>
    </row>
    <row r="82" spans="1:8" ht="12.75" x14ac:dyDescent="0.35">
      <c r="A82" s="14" t="s">
        <v>174</v>
      </c>
      <c r="B82" s="14" t="s">
        <v>173</v>
      </c>
      <c r="C82" s="20">
        <v>10000</v>
      </c>
      <c r="D82" s="20">
        <v>0</v>
      </c>
      <c r="E82" s="20">
        <v>10000</v>
      </c>
      <c r="F82" s="20">
        <v>0</v>
      </c>
      <c r="G82" s="20">
        <v>10000</v>
      </c>
      <c r="H82" s="20">
        <v>0</v>
      </c>
    </row>
    <row r="83" spans="1:8" ht="13.15" x14ac:dyDescent="0.4">
      <c r="A83" s="16"/>
      <c r="B83" s="16" t="s">
        <v>172</v>
      </c>
      <c r="C83" s="18">
        <v>20437.5</v>
      </c>
      <c r="D83" s="18">
        <v>10500</v>
      </c>
      <c r="E83" s="18">
        <v>27437.5</v>
      </c>
      <c r="F83" s="18">
        <v>17500</v>
      </c>
      <c r="G83" s="18">
        <v>9937.5</v>
      </c>
      <c r="H83" s="18">
        <v>120000</v>
      </c>
    </row>
    <row r="84" spans="1:8" ht="12.75" x14ac:dyDescent="0.35">
      <c r="A84" s="14"/>
      <c r="B84" s="14"/>
      <c r="C84" s="19"/>
      <c r="D84" s="19"/>
      <c r="E84" s="19"/>
      <c r="F84" s="19"/>
      <c r="G84" s="19"/>
      <c r="H84" s="19"/>
    </row>
    <row r="85" spans="1:8" ht="13.15" x14ac:dyDescent="0.4">
      <c r="A85" s="16"/>
      <c r="B85" s="16" t="s">
        <v>171</v>
      </c>
      <c r="C85" s="18">
        <v>191509.1</v>
      </c>
      <c r="D85" s="18">
        <v>182060.36</v>
      </c>
      <c r="E85" s="18">
        <v>298769.8</v>
      </c>
      <c r="F85" s="18">
        <v>289816.71999999997</v>
      </c>
      <c r="G85" s="18">
        <v>8953.08</v>
      </c>
      <c r="H85" s="18">
        <v>1984042.32</v>
      </c>
    </row>
    <row r="86" spans="1:8" ht="13.15" x14ac:dyDescent="0.4">
      <c r="A86" s="16"/>
      <c r="B86" s="16"/>
      <c r="C86" s="17"/>
      <c r="D86" s="17"/>
      <c r="E86" s="17"/>
      <c r="F86" s="17"/>
      <c r="G86" s="17"/>
      <c r="H86" s="17"/>
    </row>
    <row r="87" spans="1:8" ht="13.5" thickBot="1" x14ac:dyDescent="0.45">
      <c r="A87" s="16"/>
      <c r="B87" s="16" t="s">
        <v>35</v>
      </c>
      <c r="C87" s="15">
        <v>182099.43</v>
      </c>
      <c r="D87" s="15">
        <v>121039.64</v>
      </c>
      <c r="E87" s="15">
        <v>1245600.3</v>
      </c>
      <c r="F87" s="15">
        <v>1107603.28</v>
      </c>
      <c r="G87" s="15">
        <v>137997.01999999999</v>
      </c>
      <c r="H87" s="15">
        <v>322307.68</v>
      </c>
    </row>
    <row r="88" spans="1:8" ht="13.15" thickTop="1" x14ac:dyDescent="0.35">
      <c r="A88" s="14"/>
      <c r="B88" s="14"/>
      <c r="C88" s="13"/>
      <c r="D88" s="13"/>
      <c r="E88" s="13"/>
      <c r="F88" s="13"/>
      <c r="G88" s="13"/>
      <c r="H88" s="13"/>
    </row>
  </sheetData>
  <mergeCells count="9">
    <mergeCell ref="A40:H40"/>
    <mergeCell ref="A54:H54"/>
    <mergeCell ref="A56:H56"/>
    <mergeCell ref="A77:H77"/>
    <mergeCell ref="A4:H4"/>
    <mergeCell ref="A6:H6"/>
    <mergeCell ref="A17:H17"/>
    <mergeCell ref="A31:H31"/>
    <mergeCell ref="A33:H33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9" max="16383" man="1"/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7" workbookViewId="0">
      <selection activeCell="C22" sqref="C22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7"/>
      <c r="B4" s="7"/>
      <c r="C4" s="9"/>
      <c r="D4" s="9"/>
      <c r="E4" s="9"/>
      <c r="F4" s="9"/>
      <c r="G4" s="9"/>
      <c r="H4" s="9"/>
    </row>
    <row r="5" spans="1:8" ht="13.15" x14ac:dyDescent="0.4">
      <c r="A5" s="29" t="s">
        <v>13</v>
      </c>
      <c r="B5" s="30"/>
      <c r="C5" s="30"/>
      <c r="D5" s="30"/>
      <c r="E5" s="30"/>
      <c r="F5" s="30"/>
      <c r="G5" s="30"/>
      <c r="H5" s="30"/>
    </row>
    <row r="6" spans="1:8" ht="11.65" x14ac:dyDescent="0.35">
      <c r="A6" s="3" t="s">
        <v>36</v>
      </c>
      <c r="B6" s="3" t="s">
        <v>37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3000</v>
      </c>
    </row>
    <row r="7" spans="1:8" ht="11.65" x14ac:dyDescent="0.35">
      <c r="A7" s="3" t="s">
        <v>14</v>
      </c>
      <c r="B7" s="3" t="s">
        <v>15</v>
      </c>
      <c r="C7" s="5">
        <v>0</v>
      </c>
      <c r="D7" s="5">
        <v>0</v>
      </c>
      <c r="E7" s="5">
        <v>1793.52</v>
      </c>
      <c r="F7" s="5">
        <v>1800</v>
      </c>
      <c r="G7" s="5">
        <v>-6.48</v>
      </c>
      <c r="H7" s="5">
        <v>5100</v>
      </c>
    </row>
    <row r="8" spans="1:8" ht="11.65" x14ac:dyDescent="0.35">
      <c r="A8" s="3" t="s">
        <v>38</v>
      </c>
      <c r="B8" s="3" t="s">
        <v>39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150</v>
      </c>
    </row>
    <row r="9" spans="1:8" ht="11.65" x14ac:dyDescent="0.35">
      <c r="A9" s="3" t="s">
        <v>16</v>
      </c>
      <c r="B9" s="3" t="s">
        <v>17</v>
      </c>
      <c r="C9" s="5">
        <v>170.04</v>
      </c>
      <c r="D9" s="5">
        <v>170</v>
      </c>
      <c r="E9" s="5">
        <v>502.11</v>
      </c>
      <c r="F9" s="5">
        <v>500</v>
      </c>
      <c r="G9" s="5">
        <v>2.11</v>
      </c>
      <c r="H9" s="5">
        <v>8500</v>
      </c>
    </row>
    <row r="10" spans="1:8" ht="11.65" x14ac:dyDescent="0.35">
      <c r="A10" s="3" t="s">
        <v>20</v>
      </c>
      <c r="B10" s="3" t="s">
        <v>21</v>
      </c>
      <c r="C10" s="5">
        <v>103.7</v>
      </c>
      <c r="D10" s="5">
        <v>100</v>
      </c>
      <c r="E10" s="5">
        <v>155.29</v>
      </c>
      <c r="F10" s="5">
        <v>155</v>
      </c>
      <c r="G10" s="5">
        <v>0.28999999999999998</v>
      </c>
      <c r="H10" s="5">
        <v>6900</v>
      </c>
    </row>
    <row r="11" spans="1:8" ht="11.65" x14ac:dyDescent="0.35">
      <c r="A11" s="3" t="s">
        <v>24</v>
      </c>
      <c r="B11" s="3" t="s">
        <v>25</v>
      </c>
      <c r="C11" s="5">
        <v>10393.56</v>
      </c>
      <c r="D11" s="5">
        <v>10393.57</v>
      </c>
      <c r="E11" s="5">
        <v>20787.13</v>
      </c>
      <c r="F11" s="5">
        <v>20787.14</v>
      </c>
      <c r="G11" s="5">
        <v>-0.01</v>
      </c>
      <c r="H11" s="5">
        <v>124722.84</v>
      </c>
    </row>
    <row r="12" spans="1:8" ht="11.65" x14ac:dyDescent="0.35">
      <c r="A12" s="3" t="s">
        <v>40</v>
      </c>
      <c r="B12" s="3" t="s">
        <v>41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4000</v>
      </c>
    </row>
    <row r="13" spans="1:8" ht="11.65" x14ac:dyDescent="0.35">
      <c r="A13" s="3" t="s">
        <v>42</v>
      </c>
      <c r="B13" s="3" t="s">
        <v>43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16000</v>
      </c>
    </row>
    <row r="14" spans="1:8" ht="11.65" x14ac:dyDescent="0.35">
      <c r="A14" s="3" t="s">
        <v>44</v>
      </c>
      <c r="B14" s="3" t="s">
        <v>45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7500</v>
      </c>
    </row>
    <row r="15" spans="1:8" ht="11.65" x14ac:dyDescent="0.35">
      <c r="A15" s="3" t="s">
        <v>46</v>
      </c>
      <c r="B15" s="3" t="s">
        <v>47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50000</v>
      </c>
    </row>
    <row r="16" spans="1:8" ht="11.65" x14ac:dyDescent="0.35">
      <c r="A16" s="3" t="s">
        <v>48</v>
      </c>
      <c r="B16" s="3" t="s">
        <v>49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15000</v>
      </c>
    </row>
    <row r="17" spans="1:8" ht="11.65" x14ac:dyDescent="0.35">
      <c r="A17" s="3" t="s">
        <v>50</v>
      </c>
      <c r="B17" s="3" t="s">
        <v>51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1200</v>
      </c>
    </row>
    <row r="18" spans="1:8" ht="11.65" x14ac:dyDescent="0.35">
      <c r="A18" s="3" t="s">
        <v>30</v>
      </c>
      <c r="B18" s="3" t="s">
        <v>31</v>
      </c>
      <c r="C18" s="5">
        <v>0</v>
      </c>
      <c r="D18" s="5">
        <v>0</v>
      </c>
      <c r="E18" s="5">
        <v>468</v>
      </c>
      <c r="F18" s="5">
        <v>0</v>
      </c>
      <c r="G18" s="5">
        <v>468</v>
      </c>
      <c r="H18" s="5">
        <v>20000</v>
      </c>
    </row>
    <row r="19" spans="1:8" ht="11.65" x14ac:dyDescent="0.35">
      <c r="A19" s="3" t="s">
        <v>52</v>
      </c>
      <c r="B19" s="3" t="s">
        <v>53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2000</v>
      </c>
    </row>
    <row r="20" spans="1:8" ht="11.65" x14ac:dyDescent="0.35">
      <c r="A20" s="7"/>
      <c r="B20" s="7" t="s">
        <v>34</v>
      </c>
      <c r="C20" s="8">
        <v>10667.3</v>
      </c>
      <c r="D20" s="8">
        <v>10663.57</v>
      </c>
      <c r="E20" s="8">
        <v>23706.05</v>
      </c>
      <c r="F20" s="8">
        <v>23242.14</v>
      </c>
      <c r="G20" s="8">
        <v>463.91</v>
      </c>
      <c r="H20" s="8">
        <v>264072.84000000003</v>
      </c>
    </row>
    <row r="21" spans="1:8" ht="11.65" x14ac:dyDescent="0.35">
      <c r="A21" s="7"/>
      <c r="B21" s="7"/>
      <c r="C21" s="9"/>
      <c r="D21" s="9"/>
      <c r="E21" s="9"/>
      <c r="F21" s="9"/>
      <c r="G21" s="9"/>
      <c r="H21" s="9"/>
    </row>
    <row r="22" spans="1:8" ht="11.65" x14ac:dyDescent="0.35">
      <c r="A22" s="7"/>
      <c r="B22" s="7" t="s">
        <v>35</v>
      </c>
      <c r="C22" s="10">
        <v>-10667.3</v>
      </c>
      <c r="D22" s="10">
        <v>-10663.57</v>
      </c>
      <c r="E22" s="10">
        <v>-23706.05</v>
      </c>
      <c r="F22" s="10">
        <v>-23242.14</v>
      </c>
      <c r="G22" s="10">
        <v>-463.91</v>
      </c>
      <c r="H22" s="10">
        <v>-264072.84000000003</v>
      </c>
    </row>
  </sheetData>
  <mergeCells count="2">
    <mergeCell ref="A3:H3"/>
    <mergeCell ref="A5:H5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opLeftCell="A26" workbookViewId="0">
      <selection activeCell="C37" sqref="C37:H3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10</v>
      </c>
      <c r="B4" s="3" t="s">
        <v>11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242000</v>
      </c>
    </row>
    <row r="5" spans="1:8" ht="11.65" x14ac:dyDescent="0.35">
      <c r="A5" s="3" t="s">
        <v>54</v>
      </c>
      <c r="B5" s="3" t="s">
        <v>55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700000</v>
      </c>
    </row>
    <row r="6" spans="1:8" ht="11.65" x14ac:dyDescent="0.35">
      <c r="A6" s="3" t="s">
        <v>56</v>
      </c>
      <c r="B6" s="3" t="s">
        <v>57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15000</v>
      </c>
    </row>
    <row r="7" spans="1:8" ht="11.65" x14ac:dyDescent="0.35">
      <c r="A7" s="3" t="s">
        <v>58</v>
      </c>
      <c r="B7" s="3" t="s">
        <v>59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120000</v>
      </c>
    </row>
    <row r="8" spans="1:8" ht="11.65" x14ac:dyDescent="0.35">
      <c r="A8" s="3" t="s">
        <v>60</v>
      </c>
      <c r="B8" s="3" t="s">
        <v>61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500000</v>
      </c>
    </row>
    <row r="9" spans="1:8" ht="11.65" x14ac:dyDescent="0.35">
      <c r="A9" s="7"/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1577000</v>
      </c>
    </row>
    <row r="10" spans="1:8" ht="11.65" x14ac:dyDescent="0.35">
      <c r="A10" s="7"/>
      <c r="B10" s="7"/>
      <c r="C10" s="9"/>
      <c r="D10" s="9"/>
      <c r="E10" s="9"/>
      <c r="F10" s="9"/>
      <c r="G10" s="9"/>
      <c r="H10" s="9"/>
    </row>
    <row r="11" spans="1:8" ht="13.15" x14ac:dyDescent="0.4">
      <c r="A11" s="29" t="s">
        <v>13</v>
      </c>
      <c r="B11" s="30"/>
      <c r="C11" s="30"/>
      <c r="D11" s="30"/>
      <c r="E11" s="30"/>
      <c r="F11" s="30"/>
      <c r="G11" s="30"/>
      <c r="H11" s="30"/>
    </row>
    <row r="12" spans="1:8" ht="11.65" x14ac:dyDescent="0.35">
      <c r="A12" s="3" t="s">
        <v>62</v>
      </c>
      <c r="B12" s="3" t="s">
        <v>63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1500</v>
      </c>
    </row>
    <row r="13" spans="1:8" ht="11.65" x14ac:dyDescent="0.35">
      <c r="A13" s="3" t="s">
        <v>16</v>
      </c>
      <c r="B13" s="3" t="s">
        <v>17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200</v>
      </c>
    </row>
    <row r="14" spans="1:8" ht="11.65" x14ac:dyDescent="0.35">
      <c r="A14" s="3" t="s">
        <v>64</v>
      </c>
      <c r="B14" s="3" t="s">
        <v>65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15000</v>
      </c>
    </row>
    <row r="15" spans="1:8" ht="11.65" x14ac:dyDescent="0.35">
      <c r="A15" s="3" t="s">
        <v>18</v>
      </c>
      <c r="B15" s="3" t="s">
        <v>19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2500</v>
      </c>
    </row>
    <row r="16" spans="1:8" ht="11.65" x14ac:dyDescent="0.35">
      <c r="A16" s="3" t="s">
        <v>20</v>
      </c>
      <c r="B16" s="3" t="s">
        <v>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3000</v>
      </c>
    </row>
    <row r="17" spans="1:8" ht="11.65" x14ac:dyDescent="0.35">
      <c r="A17" s="3" t="s">
        <v>22</v>
      </c>
      <c r="B17" s="3" t="s">
        <v>23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3800</v>
      </c>
    </row>
    <row r="18" spans="1:8" ht="11.65" x14ac:dyDescent="0.35">
      <c r="A18" s="3" t="s">
        <v>26</v>
      </c>
      <c r="B18" s="3" t="s">
        <v>27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1500</v>
      </c>
    </row>
    <row r="19" spans="1:8" ht="11.65" x14ac:dyDescent="0.35">
      <c r="A19" s="3" t="s">
        <v>28</v>
      </c>
      <c r="B19" s="3" t="s">
        <v>29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25000</v>
      </c>
    </row>
    <row r="20" spans="1:8" ht="11.65" x14ac:dyDescent="0.35">
      <c r="A20" s="3" t="s">
        <v>66</v>
      </c>
      <c r="B20" s="3" t="s">
        <v>67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130000</v>
      </c>
    </row>
    <row r="21" spans="1:8" ht="11.65" x14ac:dyDescent="0.35">
      <c r="A21" s="3" t="s">
        <v>68</v>
      </c>
      <c r="B21" s="3" t="s">
        <v>69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20000</v>
      </c>
    </row>
    <row r="22" spans="1:8" ht="11.65" x14ac:dyDescent="0.35">
      <c r="A22" s="3" t="s">
        <v>70</v>
      </c>
      <c r="B22" s="3" t="s">
        <v>71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10000</v>
      </c>
    </row>
    <row r="23" spans="1:8" ht="11.65" x14ac:dyDescent="0.35">
      <c r="A23" s="3" t="s">
        <v>72</v>
      </c>
      <c r="B23" s="3" t="s">
        <v>73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75000</v>
      </c>
    </row>
    <row r="24" spans="1:8" ht="11.65" x14ac:dyDescent="0.35">
      <c r="A24" s="3" t="s">
        <v>74</v>
      </c>
      <c r="B24" s="3" t="s">
        <v>75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10000</v>
      </c>
    </row>
    <row r="25" spans="1:8" ht="11.65" x14ac:dyDescent="0.35">
      <c r="A25" s="3" t="s">
        <v>76</v>
      </c>
      <c r="B25" s="3" t="s">
        <v>77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25000</v>
      </c>
    </row>
    <row r="26" spans="1:8" ht="11.65" x14ac:dyDescent="0.35">
      <c r="A26" s="3" t="s">
        <v>78</v>
      </c>
      <c r="B26" s="3" t="s">
        <v>79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4000</v>
      </c>
    </row>
    <row r="27" spans="1:8" ht="11.65" x14ac:dyDescent="0.35">
      <c r="A27" s="3" t="s">
        <v>80</v>
      </c>
      <c r="B27" s="3" t="s">
        <v>81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736326.25</v>
      </c>
    </row>
    <row r="28" spans="1:8" ht="11.65" x14ac:dyDescent="0.35">
      <c r="A28" s="3" t="s">
        <v>82</v>
      </c>
      <c r="B28" s="3" t="s">
        <v>83</v>
      </c>
      <c r="C28" s="5">
        <v>0</v>
      </c>
      <c r="D28" s="5">
        <v>0</v>
      </c>
      <c r="E28" s="5">
        <v>-4176.37</v>
      </c>
      <c r="F28" s="5">
        <v>0</v>
      </c>
      <c r="G28" s="5">
        <v>-4176.37</v>
      </c>
      <c r="H28" s="5">
        <v>15000</v>
      </c>
    </row>
    <row r="29" spans="1:8" ht="11.65" x14ac:dyDescent="0.35">
      <c r="A29" s="3" t="s">
        <v>84</v>
      </c>
      <c r="B29" s="3" t="s">
        <v>85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11000</v>
      </c>
    </row>
    <row r="30" spans="1:8" ht="11.65" x14ac:dyDescent="0.35">
      <c r="A30" s="3" t="s">
        <v>86</v>
      </c>
      <c r="B30" s="3" t="s">
        <v>87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5000</v>
      </c>
    </row>
    <row r="31" spans="1:8" ht="11.65" x14ac:dyDescent="0.35">
      <c r="A31" s="3" t="s">
        <v>88</v>
      </c>
      <c r="B31" s="3" t="s">
        <v>89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85000</v>
      </c>
    </row>
    <row r="32" spans="1:8" ht="11.65" x14ac:dyDescent="0.35">
      <c r="A32" s="3" t="s">
        <v>90</v>
      </c>
      <c r="B32" s="3" t="s">
        <v>91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5000</v>
      </c>
    </row>
    <row r="33" spans="1:8" ht="11.65" x14ac:dyDescent="0.35">
      <c r="A33" s="3" t="s">
        <v>92</v>
      </c>
      <c r="B33" s="3" t="s">
        <v>93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100000</v>
      </c>
    </row>
    <row r="34" spans="1:8" ht="11.65" x14ac:dyDescent="0.35">
      <c r="A34" s="3" t="s">
        <v>94</v>
      </c>
      <c r="B34" s="3" t="s">
        <v>95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30000</v>
      </c>
    </row>
    <row r="35" spans="1:8" ht="11.65" x14ac:dyDescent="0.35">
      <c r="A35" s="7"/>
      <c r="B35" s="7" t="s">
        <v>34</v>
      </c>
      <c r="C35" s="8">
        <v>0</v>
      </c>
      <c r="D35" s="8">
        <v>0</v>
      </c>
      <c r="E35" s="8">
        <v>-4176.37</v>
      </c>
      <c r="F35" s="8">
        <v>0</v>
      </c>
      <c r="G35" s="8">
        <v>-4176.37</v>
      </c>
      <c r="H35" s="8">
        <v>1313826.25</v>
      </c>
    </row>
    <row r="36" spans="1:8" ht="11.65" x14ac:dyDescent="0.35">
      <c r="A36" s="7"/>
      <c r="B36" s="7"/>
      <c r="C36" s="9"/>
      <c r="D36" s="9"/>
      <c r="E36" s="9"/>
      <c r="F36" s="9"/>
      <c r="G36" s="9"/>
      <c r="H36" s="9"/>
    </row>
    <row r="37" spans="1:8" ht="11.65" x14ac:dyDescent="0.35">
      <c r="A37" s="7"/>
      <c r="B37" s="7" t="s">
        <v>35</v>
      </c>
      <c r="C37" s="10">
        <v>0</v>
      </c>
      <c r="D37" s="10">
        <v>0</v>
      </c>
      <c r="E37" s="10">
        <v>4176.37</v>
      </c>
      <c r="F37" s="10">
        <v>0</v>
      </c>
      <c r="G37" s="10">
        <v>4176.37</v>
      </c>
      <c r="H37" s="10">
        <v>263173.75</v>
      </c>
    </row>
  </sheetData>
  <mergeCells count="2">
    <mergeCell ref="A3:H3"/>
    <mergeCell ref="A11:H11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selection activeCell="C12" sqref="C12:H12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7"/>
      <c r="B4" s="7"/>
      <c r="C4" s="9"/>
      <c r="D4" s="9"/>
      <c r="E4" s="9"/>
      <c r="F4" s="9"/>
      <c r="G4" s="9"/>
      <c r="H4" s="9"/>
    </row>
    <row r="5" spans="1:8" ht="13.15" x14ac:dyDescent="0.4">
      <c r="A5" s="29" t="s">
        <v>13</v>
      </c>
      <c r="B5" s="30"/>
      <c r="C5" s="30"/>
      <c r="D5" s="30"/>
      <c r="E5" s="30"/>
      <c r="F5" s="30"/>
      <c r="G5" s="30"/>
      <c r="H5" s="30"/>
    </row>
    <row r="6" spans="1:8" ht="11.65" x14ac:dyDescent="0.35">
      <c r="A6" s="3" t="s">
        <v>18</v>
      </c>
      <c r="B6" s="3" t="s">
        <v>19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100</v>
      </c>
    </row>
    <row r="7" spans="1:8" ht="11.65" x14ac:dyDescent="0.35">
      <c r="A7" s="3" t="s">
        <v>20</v>
      </c>
      <c r="B7" s="3" t="s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1500</v>
      </c>
    </row>
    <row r="8" spans="1:8" ht="11.65" x14ac:dyDescent="0.35">
      <c r="A8" s="3" t="s">
        <v>96</v>
      </c>
      <c r="B8" s="3" t="s">
        <v>97</v>
      </c>
      <c r="C8" s="5">
        <v>0</v>
      </c>
      <c r="D8" s="5">
        <v>0</v>
      </c>
      <c r="E8" s="5">
        <v>-1664.14</v>
      </c>
      <c r="F8" s="5">
        <v>0</v>
      </c>
      <c r="G8" s="5">
        <v>-1664.14</v>
      </c>
      <c r="H8" s="5">
        <v>10000</v>
      </c>
    </row>
    <row r="9" spans="1:8" ht="11.65" x14ac:dyDescent="0.35">
      <c r="A9" s="3" t="s">
        <v>88</v>
      </c>
      <c r="B9" s="3" t="s">
        <v>89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1000</v>
      </c>
    </row>
    <row r="10" spans="1:8" ht="11.65" x14ac:dyDescent="0.35">
      <c r="A10" s="7"/>
      <c r="B10" s="7" t="s">
        <v>34</v>
      </c>
      <c r="C10" s="8">
        <v>0</v>
      </c>
      <c r="D10" s="8">
        <v>0</v>
      </c>
      <c r="E10" s="8">
        <v>-1664.14</v>
      </c>
      <c r="F10" s="8">
        <v>0</v>
      </c>
      <c r="G10" s="8">
        <v>-1664.14</v>
      </c>
      <c r="H10" s="8">
        <v>12600</v>
      </c>
    </row>
    <row r="11" spans="1:8" ht="11.65" x14ac:dyDescent="0.35">
      <c r="A11" s="7"/>
      <c r="B11" s="7"/>
      <c r="C11" s="9"/>
      <c r="D11" s="9"/>
      <c r="E11" s="9"/>
      <c r="F11" s="9"/>
      <c r="G11" s="9"/>
      <c r="H11" s="9"/>
    </row>
    <row r="12" spans="1:8" ht="11.65" x14ac:dyDescent="0.35">
      <c r="A12" s="7"/>
      <c r="B12" s="7" t="s">
        <v>35</v>
      </c>
      <c r="C12" s="10">
        <v>0</v>
      </c>
      <c r="D12" s="10">
        <v>0</v>
      </c>
      <c r="E12" s="10">
        <v>1664.14</v>
      </c>
      <c r="F12" s="10">
        <v>0</v>
      </c>
      <c r="G12" s="10">
        <v>1664.14</v>
      </c>
      <c r="H12" s="10">
        <v>-12600</v>
      </c>
    </row>
  </sheetData>
  <mergeCells count="2">
    <mergeCell ref="A3:H3"/>
    <mergeCell ref="A5:H5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C22" sqref="C22:H22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10</v>
      </c>
      <c r="B4" s="3" t="s">
        <v>11</v>
      </c>
      <c r="C4" s="4">
        <v>3000</v>
      </c>
      <c r="D4" s="4">
        <v>3000</v>
      </c>
      <c r="E4" s="4">
        <v>13000</v>
      </c>
      <c r="F4" s="4">
        <v>13000</v>
      </c>
      <c r="G4" s="4">
        <v>0</v>
      </c>
      <c r="H4" s="4">
        <v>16500</v>
      </c>
    </row>
    <row r="5" spans="1:8" ht="11.65" x14ac:dyDescent="0.35">
      <c r="A5" s="3" t="s">
        <v>98</v>
      </c>
      <c r="B5" s="3" t="s">
        <v>99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3200</v>
      </c>
    </row>
    <row r="6" spans="1:8" ht="11.65" x14ac:dyDescent="0.35">
      <c r="A6" s="3" t="s">
        <v>100</v>
      </c>
      <c r="B6" s="3" t="s">
        <v>101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50</v>
      </c>
    </row>
    <row r="7" spans="1:8" ht="11.65" x14ac:dyDescent="0.35">
      <c r="A7" s="3" t="s">
        <v>102</v>
      </c>
      <c r="B7" s="3" t="s">
        <v>103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700</v>
      </c>
    </row>
    <row r="8" spans="1:8" ht="11.65" x14ac:dyDescent="0.35">
      <c r="A8" s="3" t="s">
        <v>104</v>
      </c>
      <c r="B8" s="3" t="s">
        <v>105</v>
      </c>
      <c r="C8" s="5">
        <v>9502.94</v>
      </c>
      <c r="D8" s="5">
        <v>9500</v>
      </c>
      <c r="E8" s="5">
        <v>14074.54</v>
      </c>
      <c r="F8" s="5">
        <v>14100</v>
      </c>
      <c r="G8" s="5">
        <v>-25.46</v>
      </c>
      <c r="H8" s="5">
        <v>100000</v>
      </c>
    </row>
    <row r="9" spans="1:8" ht="11.65" x14ac:dyDescent="0.35">
      <c r="A9" s="3" t="s">
        <v>106</v>
      </c>
      <c r="B9" s="3" t="s">
        <v>65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100</v>
      </c>
    </row>
    <row r="10" spans="1:8" ht="11.65" x14ac:dyDescent="0.35">
      <c r="A10" s="3" t="s">
        <v>107</v>
      </c>
      <c r="B10" s="3" t="s">
        <v>108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2500</v>
      </c>
    </row>
    <row r="11" spans="1:8" ht="11.65" x14ac:dyDescent="0.35">
      <c r="A11" s="7"/>
      <c r="B11" s="7" t="s">
        <v>12</v>
      </c>
      <c r="C11" s="8">
        <v>12502.94</v>
      </c>
      <c r="D11" s="8">
        <v>12500</v>
      </c>
      <c r="E11" s="8">
        <v>27074.54</v>
      </c>
      <c r="F11" s="8">
        <v>27100</v>
      </c>
      <c r="G11" s="8">
        <v>-25.46</v>
      </c>
      <c r="H11" s="8">
        <v>123050</v>
      </c>
    </row>
    <row r="12" spans="1:8" ht="11.65" x14ac:dyDescent="0.35">
      <c r="A12" s="7"/>
      <c r="B12" s="7"/>
      <c r="C12" s="9"/>
      <c r="D12" s="9"/>
      <c r="E12" s="9"/>
      <c r="F12" s="9"/>
      <c r="G12" s="9"/>
      <c r="H12" s="9"/>
    </row>
    <row r="13" spans="1:8" ht="13.15" x14ac:dyDescent="0.4">
      <c r="A13" s="29" t="s">
        <v>13</v>
      </c>
      <c r="B13" s="30"/>
      <c r="C13" s="30"/>
      <c r="D13" s="30"/>
      <c r="E13" s="30"/>
      <c r="F13" s="30"/>
      <c r="G13" s="30"/>
      <c r="H13" s="30"/>
    </row>
    <row r="14" spans="1:8" ht="11.65" x14ac:dyDescent="0.35">
      <c r="A14" s="3" t="s">
        <v>16</v>
      </c>
      <c r="B14" s="3" t="s">
        <v>17</v>
      </c>
      <c r="C14" s="5">
        <v>66.45</v>
      </c>
      <c r="D14" s="5">
        <v>65</v>
      </c>
      <c r="E14" s="5">
        <v>66.45</v>
      </c>
      <c r="F14" s="5">
        <v>65</v>
      </c>
      <c r="G14" s="5">
        <v>1.45</v>
      </c>
      <c r="H14" s="5">
        <v>750</v>
      </c>
    </row>
    <row r="15" spans="1:8" ht="11.65" x14ac:dyDescent="0.35">
      <c r="A15" s="3" t="s">
        <v>20</v>
      </c>
      <c r="B15" s="3" t="s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50</v>
      </c>
    </row>
    <row r="16" spans="1:8" ht="11.65" x14ac:dyDescent="0.35">
      <c r="A16" s="3" t="s">
        <v>24</v>
      </c>
      <c r="B16" s="3" t="s">
        <v>25</v>
      </c>
      <c r="C16" s="5">
        <v>4349.24</v>
      </c>
      <c r="D16" s="5">
        <v>4349.24</v>
      </c>
      <c r="E16" s="5">
        <v>8698.48</v>
      </c>
      <c r="F16" s="5">
        <v>8698.48</v>
      </c>
      <c r="G16" s="5">
        <v>0</v>
      </c>
      <c r="H16" s="5">
        <v>52190.85</v>
      </c>
    </row>
    <row r="17" spans="1:8" ht="11.65" x14ac:dyDescent="0.35">
      <c r="A17" s="3" t="s">
        <v>109</v>
      </c>
      <c r="B17" s="3" t="s">
        <v>110</v>
      </c>
      <c r="C17" s="5">
        <v>258</v>
      </c>
      <c r="D17" s="5">
        <v>260</v>
      </c>
      <c r="E17" s="5">
        <v>408</v>
      </c>
      <c r="F17" s="5">
        <v>410</v>
      </c>
      <c r="G17" s="5">
        <v>-2</v>
      </c>
      <c r="H17" s="5">
        <v>1000</v>
      </c>
    </row>
    <row r="18" spans="1:8" ht="11.65" x14ac:dyDescent="0.35">
      <c r="A18" s="3" t="s">
        <v>111</v>
      </c>
      <c r="B18" s="3" t="s">
        <v>112</v>
      </c>
      <c r="C18" s="5">
        <v>5177.26</v>
      </c>
      <c r="D18" s="5">
        <v>0</v>
      </c>
      <c r="E18" s="5">
        <v>5676.83</v>
      </c>
      <c r="F18" s="5">
        <v>0</v>
      </c>
      <c r="G18" s="5">
        <v>5676.83</v>
      </c>
      <c r="H18" s="5">
        <v>0</v>
      </c>
    </row>
    <row r="19" spans="1:8" ht="11.65" x14ac:dyDescent="0.35">
      <c r="A19" s="3" t="s">
        <v>30</v>
      </c>
      <c r="B19" s="3" t="s">
        <v>31</v>
      </c>
      <c r="C19" s="6">
        <v>7463.65</v>
      </c>
      <c r="D19" s="6">
        <v>8500</v>
      </c>
      <c r="E19" s="6">
        <v>16982.3</v>
      </c>
      <c r="F19" s="6">
        <v>16000</v>
      </c>
      <c r="G19" s="6">
        <v>982.3</v>
      </c>
      <c r="H19" s="6">
        <v>50470</v>
      </c>
    </row>
    <row r="20" spans="1:8" ht="11.65" x14ac:dyDescent="0.35">
      <c r="A20" s="7"/>
      <c r="B20" s="7" t="s">
        <v>34</v>
      </c>
      <c r="C20" s="8">
        <v>17314.599999999999</v>
      </c>
      <c r="D20" s="8">
        <v>13174.24</v>
      </c>
      <c r="E20" s="8">
        <v>31832.06</v>
      </c>
      <c r="F20" s="8">
        <v>25173.48</v>
      </c>
      <c r="G20" s="8">
        <v>6658.58</v>
      </c>
      <c r="H20" s="8">
        <v>104460.85</v>
      </c>
    </row>
    <row r="21" spans="1:8" ht="11.65" x14ac:dyDescent="0.35">
      <c r="A21" s="7"/>
      <c r="B21" s="7"/>
      <c r="C21" s="9"/>
      <c r="D21" s="9"/>
      <c r="E21" s="9"/>
      <c r="F21" s="9"/>
      <c r="G21" s="9"/>
      <c r="H21" s="9"/>
    </row>
    <row r="22" spans="1:8" ht="11.65" x14ac:dyDescent="0.35">
      <c r="A22" s="7"/>
      <c r="B22" s="7" t="s">
        <v>35</v>
      </c>
      <c r="C22" s="10">
        <v>-4811.66</v>
      </c>
      <c r="D22" s="10">
        <v>-674.24</v>
      </c>
      <c r="E22" s="10">
        <v>-4757.5200000000004</v>
      </c>
      <c r="F22" s="10">
        <v>1926.52</v>
      </c>
      <c r="G22" s="10">
        <v>-6684.04</v>
      </c>
      <c r="H22" s="10">
        <v>18589.150000000001</v>
      </c>
    </row>
  </sheetData>
  <mergeCells count="2">
    <mergeCell ref="A3:H3"/>
    <mergeCell ref="A13:H13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opLeftCell="A11" workbookViewId="0">
      <selection activeCell="C25" sqref="C25:H2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113</v>
      </c>
      <c r="B4" s="3" t="s">
        <v>114</v>
      </c>
      <c r="C4" s="4">
        <v>1590</v>
      </c>
      <c r="D4" s="4">
        <v>1600</v>
      </c>
      <c r="E4" s="4">
        <v>2985</v>
      </c>
      <c r="F4" s="4">
        <v>3000</v>
      </c>
      <c r="G4" s="4">
        <v>-15</v>
      </c>
      <c r="H4" s="4">
        <v>41280</v>
      </c>
    </row>
    <row r="5" spans="1:8" ht="11.65" x14ac:dyDescent="0.35">
      <c r="A5" s="3" t="s">
        <v>115</v>
      </c>
      <c r="B5" s="3" t="s">
        <v>116</v>
      </c>
      <c r="C5" s="6">
        <v>483</v>
      </c>
      <c r="D5" s="6">
        <v>500</v>
      </c>
      <c r="E5" s="6">
        <v>1092.5</v>
      </c>
      <c r="F5" s="6">
        <v>1100</v>
      </c>
      <c r="G5" s="6">
        <v>-7.5</v>
      </c>
      <c r="H5" s="6">
        <v>15025</v>
      </c>
    </row>
    <row r="6" spans="1:8" ht="11.65" x14ac:dyDescent="0.35">
      <c r="A6" s="7"/>
      <c r="B6" s="7" t="s">
        <v>12</v>
      </c>
      <c r="C6" s="8">
        <v>2073</v>
      </c>
      <c r="D6" s="8">
        <v>2100</v>
      </c>
      <c r="E6" s="8">
        <v>4077.5</v>
      </c>
      <c r="F6" s="8">
        <v>4100</v>
      </c>
      <c r="G6" s="8">
        <v>-22.5</v>
      </c>
      <c r="H6" s="8">
        <v>56305</v>
      </c>
    </row>
    <row r="7" spans="1:8" ht="11.65" x14ac:dyDescent="0.35">
      <c r="A7" s="7"/>
      <c r="B7" s="7"/>
      <c r="C7" s="9"/>
      <c r="D7" s="9"/>
      <c r="E7" s="9"/>
      <c r="F7" s="9"/>
      <c r="G7" s="9"/>
      <c r="H7" s="9"/>
    </row>
    <row r="8" spans="1:8" ht="13.15" x14ac:dyDescent="0.4">
      <c r="A8" s="29" t="s">
        <v>13</v>
      </c>
      <c r="B8" s="30"/>
      <c r="C8" s="30"/>
      <c r="D8" s="30"/>
      <c r="E8" s="30"/>
      <c r="F8" s="30"/>
      <c r="G8" s="30"/>
      <c r="H8" s="30"/>
    </row>
    <row r="9" spans="1:8" ht="11.65" x14ac:dyDescent="0.35">
      <c r="A9" s="3" t="s">
        <v>117</v>
      </c>
      <c r="B9" s="3" t="s">
        <v>118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3000</v>
      </c>
    </row>
    <row r="10" spans="1:8" ht="11.65" x14ac:dyDescent="0.35">
      <c r="A10" s="3" t="s">
        <v>16</v>
      </c>
      <c r="B10" s="3" t="s">
        <v>17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325</v>
      </c>
    </row>
    <row r="11" spans="1:8" ht="11.65" x14ac:dyDescent="0.35">
      <c r="A11" s="3" t="s">
        <v>18</v>
      </c>
      <c r="B11" s="3" t="s">
        <v>19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250</v>
      </c>
    </row>
    <row r="12" spans="1:8" ht="11.65" x14ac:dyDescent="0.35">
      <c r="A12" s="3" t="s">
        <v>20</v>
      </c>
      <c r="B12" s="3" t="s">
        <v>21</v>
      </c>
      <c r="C12" s="5">
        <v>43.71</v>
      </c>
      <c r="D12" s="5">
        <v>44</v>
      </c>
      <c r="E12" s="5">
        <v>48.37</v>
      </c>
      <c r="F12" s="5">
        <v>48</v>
      </c>
      <c r="G12" s="5">
        <v>0.37</v>
      </c>
      <c r="H12" s="5">
        <v>500</v>
      </c>
    </row>
    <row r="13" spans="1:8" ht="11.65" x14ac:dyDescent="0.35">
      <c r="A13" s="3" t="s">
        <v>24</v>
      </c>
      <c r="B13" s="3" t="s">
        <v>25</v>
      </c>
      <c r="C13" s="5">
        <v>6630.63</v>
      </c>
      <c r="D13" s="5">
        <v>6630.63</v>
      </c>
      <c r="E13" s="5">
        <v>13261.26</v>
      </c>
      <c r="F13" s="5">
        <v>13261.26</v>
      </c>
      <c r="G13" s="5">
        <v>0</v>
      </c>
      <c r="H13" s="5">
        <v>79567.5</v>
      </c>
    </row>
    <row r="14" spans="1:8" ht="11.65" x14ac:dyDescent="0.35">
      <c r="A14" s="3" t="s">
        <v>26</v>
      </c>
      <c r="B14" s="3" t="s">
        <v>27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50</v>
      </c>
    </row>
    <row r="15" spans="1:8" ht="11.65" x14ac:dyDescent="0.35">
      <c r="A15" s="3" t="s">
        <v>119</v>
      </c>
      <c r="B15" s="3" t="s">
        <v>120</v>
      </c>
      <c r="C15" s="5">
        <v>2444.0100000000002</v>
      </c>
      <c r="D15" s="5">
        <v>1500</v>
      </c>
      <c r="E15" s="5">
        <v>3138.2</v>
      </c>
      <c r="F15" s="5">
        <v>2200</v>
      </c>
      <c r="G15" s="5">
        <v>938.2</v>
      </c>
      <c r="H15" s="5">
        <v>2200</v>
      </c>
    </row>
    <row r="16" spans="1:8" ht="11.65" x14ac:dyDescent="0.35">
      <c r="A16" s="3" t="s">
        <v>121</v>
      </c>
      <c r="B16" s="3" t="s">
        <v>122</v>
      </c>
      <c r="C16" s="5">
        <v>1269</v>
      </c>
      <c r="D16" s="5">
        <v>1200</v>
      </c>
      <c r="E16" s="5">
        <v>2308.5</v>
      </c>
      <c r="F16" s="5">
        <v>2300</v>
      </c>
      <c r="G16" s="5">
        <v>8.5</v>
      </c>
      <c r="H16" s="5">
        <v>20000</v>
      </c>
    </row>
    <row r="17" spans="1:8" ht="11.65" x14ac:dyDescent="0.35">
      <c r="A17" s="3" t="s">
        <v>123</v>
      </c>
      <c r="B17" s="3" t="s">
        <v>124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2000</v>
      </c>
    </row>
    <row r="18" spans="1:8" ht="11.65" x14ac:dyDescent="0.35">
      <c r="A18" s="3" t="s">
        <v>88</v>
      </c>
      <c r="B18" s="3" t="s">
        <v>89</v>
      </c>
      <c r="C18" s="5">
        <v>1215</v>
      </c>
      <c r="D18" s="5">
        <v>1200</v>
      </c>
      <c r="E18" s="5">
        <v>2430</v>
      </c>
      <c r="F18" s="5">
        <v>2400</v>
      </c>
      <c r="G18" s="5">
        <v>30</v>
      </c>
      <c r="H18" s="5">
        <v>25905</v>
      </c>
    </row>
    <row r="19" spans="1:8" ht="11.65" x14ac:dyDescent="0.35">
      <c r="A19" s="3" t="s">
        <v>90</v>
      </c>
      <c r="B19" s="3" t="s">
        <v>91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10000</v>
      </c>
    </row>
    <row r="20" spans="1:8" ht="11.65" x14ac:dyDescent="0.35">
      <c r="A20" s="3" t="s">
        <v>125</v>
      </c>
      <c r="B20" s="3" t="s">
        <v>126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25000</v>
      </c>
    </row>
    <row r="21" spans="1:8" ht="11.65" x14ac:dyDescent="0.35">
      <c r="A21" s="3" t="s">
        <v>127</v>
      </c>
      <c r="B21" s="3" t="s">
        <v>128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1200</v>
      </c>
    </row>
    <row r="22" spans="1:8" ht="11.65" x14ac:dyDescent="0.35">
      <c r="A22" s="3" t="s">
        <v>30</v>
      </c>
      <c r="B22" s="3" t="s">
        <v>31</v>
      </c>
      <c r="C22" s="6">
        <v>249</v>
      </c>
      <c r="D22" s="6">
        <v>250</v>
      </c>
      <c r="E22" s="6">
        <v>249</v>
      </c>
      <c r="F22" s="6">
        <v>250</v>
      </c>
      <c r="G22" s="6">
        <v>-1</v>
      </c>
      <c r="H22" s="6">
        <v>1500</v>
      </c>
    </row>
    <row r="23" spans="1:8" ht="11.65" x14ac:dyDescent="0.35">
      <c r="A23" s="7"/>
      <c r="B23" s="7" t="s">
        <v>34</v>
      </c>
      <c r="C23" s="8">
        <v>11851.35</v>
      </c>
      <c r="D23" s="8">
        <v>10824.63</v>
      </c>
      <c r="E23" s="8">
        <v>21435.33</v>
      </c>
      <c r="F23" s="8">
        <v>20459.259999999998</v>
      </c>
      <c r="G23" s="8">
        <v>976.07</v>
      </c>
      <c r="H23" s="8">
        <v>171497.5</v>
      </c>
    </row>
    <row r="24" spans="1:8" ht="11.65" x14ac:dyDescent="0.35">
      <c r="A24" s="7"/>
      <c r="B24" s="7"/>
      <c r="C24" s="9"/>
      <c r="D24" s="9"/>
      <c r="E24" s="9"/>
      <c r="F24" s="9"/>
      <c r="G24" s="9"/>
      <c r="H24" s="9"/>
    </row>
    <row r="25" spans="1:8" ht="11.65" x14ac:dyDescent="0.35">
      <c r="A25" s="7"/>
      <c r="B25" s="7" t="s">
        <v>35</v>
      </c>
      <c r="C25" s="10">
        <v>-9778.35</v>
      </c>
      <c r="D25" s="10">
        <v>-8724.6299999999992</v>
      </c>
      <c r="E25" s="10">
        <v>-17357.830000000002</v>
      </c>
      <c r="F25" s="10">
        <v>-16359.26</v>
      </c>
      <c r="G25" s="10">
        <v>-998.57</v>
      </c>
      <c r="H25" s="10">
        <v>-115192.5</v>
      </c>
    </row>
  </sheetData>
  <mergeCells count="2">
    <mergeCell ref="A3:H3"/>
    <mergeCell ref="A8:H8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C9" sqref="C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129</v>
      </c>
      <c r="B4" s="3" t="s">
        <v>130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600</v>
      </c>
    </row>
    <row r="5" spans="1:8" ht="11.65" x14ac:dyDescent="0.35">
      <c r="A5" s="3" t="s">
        <v>131</v>
      </c>
      <c r="B5" s="3" t="s">
        <v>132</v>
      </c>
      <c r="C5" s="5">
        <v>300</v>
      </c>
      <c r="D5" s="5">
        <v>300</v>
      </c>
      <c r="E5" s="5">
        <v>750</v>
      </c>
      <c r="F5" s="5">
        <v>750</v>
      </c>
      <c r="G5" s="5">
        <v>0</v>
      </c>
      <c r="H5" s="5">
        <v>10650</v>
      </c>
    </row>
    <row r="6" spans="1:8" ht="11.65" x14ac:dyDescent="0.35">
      <c r="A6" s="3" t="s">
        <v>133</v>
      </c>
      <c r="B6" s="3" t="s">
        <v>134</v>
      </c>
      <c r="C6" s="5">
        <v>250</v>
      </c>
      <c r="D6" s="5">
        <v>250</v>
      </c>
      <c r="E6" s="5">
        <v>750</v>
      </c>
      <c r="F6" s="5">
        <v>750</v>
      </c>
      <c r="G6" s="5">
        <v>0</v>
      </c>
      <c r="H6" s="5">
        <v>3750</v>
      </c>
    </row>
    <row r="7" spans="1:8" ht="11.65" x14ac:dyDescent="0.35">
      <c r="A7" s="3" t="s">
        <v>135</v>
      </c>
      <c r="B7" s="3" t="s">
        <v>136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1050</v>
      </c>
    </row>
    <row r="8" spans="1:8" ht="11.65" x14ac:dyDescent="0.35">
      <c r="A8" s="3" t="s">
        <v>137</v>
      </c>
      <c r="B8" s="3" t="s">
        <v>138</v>
      </c>
      <c r="C8" s="6">
        <v>900</v>
      </c>
      <c r="D8" s="6">
        <v>900</v>
      </c>
      <c r="E8" s="6">
        <v>2900</v>
      </c>
      <c r="F8" s="6">
        <v>2900</v>
      </c>
      <c r="G8" s="6">
        <v>0</v>
      </c>
      <c r="H8" s="6">
        <v>3700</v>
      </c>
    </row>
    <row r="9" spans="1:8" ht="11.65" x14ac:dyDescent="0.35">
      <c r="A9" s="7"/>
      <c r="B9" s="7" t="s">
        <v>12</v>
      </c>
      <c r="C9" s="8">
        <v>1450</v>
      </c>
      <c r="D9" s="8">
        <v>1450</v>
      </c>
      <c r="E9" s="8">
        <v>4400</v>
      </c>
      <c r="F9" s="8">
        <v>4400</v>
      </c>
      <c r="G9" s="8">
        <v>0</v>
      </c>
      <c r="H9" s="8">
        <v>19750</v>
      </c>
    </row>
    <row r="10" spans="1:8" ht="11.65" x14ac:dyDescent="0.35">
      <c r="A10" s="7"/>
      <c r="B10" s="7"/>
      <c r="C10" s="9"/>
      <c r="D10" s="9"/>
      <c r="E10" s="9"/>
      <c r="F10" s="9"/>
      <c r="G10" s="9"/>
      <c r="H10" s="9"/>
    </row>
    <row r="11" spans="1:8" ht="13.15" x14ac:dyDescent="0.4">
      <c r="A11" s="29" t="s">
        <v>13</v>
      </c>
      <c r="B11" s="30"/>
      <c r="C11" s="30"/>
      <c r="D11" s="30"/>
      <c r="E11" s="30"/>
      <c r="F11" s="30"/>
      <c r="G11" s="30"/>
      <c r="H11" s="30"/>
    </row>
    <row r="12" spans="1:8" ht="11.65" x14ac:dyDescent="0.35">
      <c r="A12" s="3" t="s">
        <v>14</v>
      </c>
      <c r="B12" s="3" t="s">
        <v>15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1500</v>
      </c>
    </row>
    <row r="13" spans="1:8" ht="11.65" x14ac:dyDescent="0.35">
      <c r="A13" s="3" t="s">
        <v>16</v>
      </c>
      <c r="B13" s="3" t="s">
        <v>17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1000</v>
      </c>
    </row>
    <row r="14" spans="1:8" ht="11.65" x14ac:dyDescent="0.35">
      <c r="A14" s="3" t="s">
        <v>20</v>
      </c>
      <c r="B14" s="3" t="s">
        <v>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175</v>
      </c>
    </row>
    <row r="15" spans="1:8" ht="11.65" x14ac:dyDescent="0.35">
      <c r="A15" s="3" t="s">
        <v>30</v>
      </c>
      <c r="B15" s="3" t="s">
        <v>31</v>
      </c>
      <c r="C15" s="6">
        <v>0</v>
      </c>
      <c r="D15" s="6">
        <v>0</v>
      </c>
      <c r="E15" s="6">
        <v>249</v>
      </c>
      <c r="F15" s="6">
        <v>250</v>
      </c>
      <c r="G15" s="6">
        <v>-1</v>
      </c>
      <c r="H15" s="6">
        <v>5000</v>
      </c>
    </row>
    <row r="16" spans="1:8" ht="11.65" x14ac:dyDescent="0.35">
      <c r="A16" s="7"/>
      <c r="B16" s="7" t="s">
        <v>34</v>
      </c>
      <c r="C16" s="8">
        <v>0</v>
      </c>
      <c r="D16" s="8">
        <v>0</v>
      </c>
      <c r="E16" s="8">
        <v>249</v>
      </c>
      <c r="F16" s="8">
        <v>250</v>
      </c>
      <c r="G16" s="8">
        <v>-1</v>
      </c>
      <c r="H16" s="8">
        <v>7675</v>
      </c>
    </row>
    <row r="17" spans="1:8" ht="11.65" x14ac:dyDescent="0.35">
      <c r="A17" s="7"/>
      <c r="B17" s="7"/>
      <c r="C17" s="9"/>
      <c r="D17" s="9"/>
      <c r="E17" s="9"/>
      <c r="F17" s="9"/>
      <c r="G17" s="9"/>
      <c r="H17" s="9"/>
    </row>
    <row r="18" spans="1:8" ht="11.65" x14ac:dyDescent="0.35">
      <c r="A18" s="7"/>
      <c r="B18" s="7" t="s">
        <v>35</v>
      </c>
      <c r="C18" s="10">
        <v>1450</v>
      </c>
      <c r="D18" s="10">
        <v>1450</v>
      </c>
      <c r="E18" s="10">
        <v>4151</v>
      </c>
      <c r="F18" s="10">
        <v>4150</v>
      </c>
      <c r="G18" s="10">
        <v>1</v>
      </c>
      <c r="H18" s="10">
        <v>12075</v>
      </c>
    </row>
  </sheetData>
  <mergeCells count="2">
    <mergeCell ref="A3:H3"/>
    <mergeCell ref="A11:H11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selection activeCell="C14" sqref="C14:H1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10</v>
      </c>
      <c r="B4" s="3" t="s">
        <v>11</v>
      </c>
      <c r="C4" s="4">
        <v>18000</v>
      </c>
      <c r="D4" s="4">
        <v>18000</v>
      </c>
      <c r="E4" s="4">
        <v>82000</v>
      </c>
      <c r="F4" s="4">
        <v>82000</v>
      </c>
      <c r="G4" s="4">
        <v>0</v>
      </c>
      <c r="H4" s="4">
        <v>117000</v>
      </c>
    </row>
    <row r="5" spans="1:8" ht="11.65" x14ac:dyDescent="0.35">
      <c r="A5" s="3" t="s">
        <v>139</v>
      </c>
      <c r="B5" s="3" t="s">
        <v>140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5000</v>
      </c>
    </row>
    <row r="6" spans="1:8" ht="11.65" x14ac:dyDescent="0.35">
      <c r="A6" s="7"/>
      <c r="B6" s="7" t="s">
        <v>12</v>
      </c>
      <c r="C6" s="8">
        <v>18000</v>
      </c>
      <c r="D6" s="8">
        <v>18000</v>
      </c>
      <c r="E6" s="8">
        <v>82000</v>
      </c>
      <c r="F6" s="8">
        <v>82000</v>
      </c>
      <c r="G6" s="8">
        <v>0</v>
      </c>
      <c r="H6" s="8">
        <v>122000</v>
      </c>
    </row>
    <row r="7" spans="1:8" ht="11.65" x14ac:dyDescent="0.35">
      <c r="A7" s="7"/>
      <c r="B7" s="7"/>
      <c r="C7" s="9"/>
      <c r="D7" s="9"/>
      <c r="E7" s="9"/>
      <c r="F7" s="9"/>
      <c r="G7" s="9"/>
      <c r="H7" s="9"/>
    </row>
    <row r="8" spans="1:8" ht="13.15" x14ac:dyDescent="0.4">
      <c r="A8" s="29" t="s">
        <v>13</v>
      </c>
      <c r="B8" s="30"/>
      <c r="C8" s="30"/>
      <c r="D8" s="30"/>
      <c r="E8" s="30"/>
      <c r="F8" s="30"/>
      <c r="G8" s="30"/>
      <c r="H8" s="30"/>
    </row>
    <row r="9" spans="1:8" ht="11.65" x14ac:dyDescent="0.35">
      <c r="A9" s="3" t="s">
        <v>141</v>
      </c>
      <c r="B9" s="3" t="s">
        <v>142</v>
      </c>
      <c r="C9" s="5">
        <v>1052.0999999999999</v>
      </c>
      <c r="D9" s="5">
        <v>1000</v>
      </c>
      <c r="E9" s="5">
        <v>1052.0999999999999</v>
      </c>
      <c r="F9" s="5">
        <v>1000</v>
      </c>
      <c r="G9" s="5">
        <v>52.1</v>
      </c>
      <c r="H9" s="5">
        <v>13500</v>
      </c>
    </row>
    <row r="10" spans="1:8" ht="11.65" x14ac:dyDescent="0.35">
      <c r="A10" s="3" t="s">
        <v>20</v>
      </c>
      <c r="B10" s="3" t="s">
        <v>21</v>
      </c>
      <c r="C10" s="5">
        <v>75.989999999999995</v>
      </c>
      <c r="D10" s="5">
        <v>75</v>
      </c>
      <c r="E10" s="5">
        <v>78.23</v>
      </c>
      <c r="F10" s="5">
        <v>78</v>
      </c>
      <c r="G10" s="5">
        <v>0.23</v>
      </c>
      <c r="H10" s="5">
        <v>100</v>
      </c>
    </row>
    <row r="11" spans="1:8" ht="11.65" x14ac:dyDescent="0.35">
      <c r="A11" s="3" t="s">
        <v>143</v>
      </c>
      <c r="B11" s="3" t="s">
        <v>144</v>
      </c>
      <c r="C11" s="6">
        <v>3174.96</v>
      </c>
      <c r="D11" s="6">
        <v>3200</v>
      </c>
      <c r="E11" s="6">
        <v>3174.96</v>
      </c>
      <c r="F11" s="6">
        <v>3200</v>
      </c>
      <c r="G11" s="6">
        <v>-25.04</v>
      </c>
      <c r="H11" s="6">
        <v>40000</v>
      </c>
    </row>
    <row r="12" spans="1:8" ht="11.65" x14ac:dyDescent="0.35">
      <c r="A12" s="7"/>
      <c r="B12" s="7" t="s">
        <v>34</v>
      </c>
      <c r="C12" s="8">
        <v>4303.05</v>
      </c>
      <c r="D12" s="8">
        <v>4275</v>
      </c>
      <c r="E12" s="8">
        <v>4305.29</v>
      </c>
      <c r="F12" s="8">
        <v>4278</v>
      </c>
      <c r="G12" s="8">
        <v>27.29</v>
      </c>
      <c r="H12" s="8">
        <v>53600</v>
      </c>
    </row>
    <row r="13" spans="1:8" ht="11.65" x14ac:dyDescent="0.35">
      <c r="A13" s="7"/>
      <c r="B13" s="7"/>
      <c r="C13" s="9"/>
      <c r="D13" s="9"/>
      <c r="E13" s="9"/>
      <c r="F13" s="9"/>
      <c r="G13" s="9"/>
      <c r="H13" s="9"/>
    </row>
    <row r="14" spans="1:8" ht="11.65" x14ac:dyDescent="0.35">
      <c r="A14" s="7"/>
      <c r="B14" s="7" t="s">
        <v>35</v>
      </c>
      <c r="C14" s="10">
        <v>13696.95</v>
      </c>
      <c r="D14" s="10">
        <v>13725</v>
      </c>
      <c r="E14" s="10">
        <v>77694.710000000006</v>
      </c>
      <c r="F14" s="10">
        <v>77722</v>
      </c>
      <c r="G14" s="10">
        <v>-27.29</v>
      </c>
      <c r="H14" s="10">
        <v>68400</v>
      </c>
    </row>
  </sheetData>
  <mergeCells count="2">
    <mergeCell ref="A3:H3"/>
    <mergeCell ref="A8:H8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topLeftCell="A8" workbookViewId="0">
      <selection activeCell="B10" sqref="B10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>
        <v>3700</v>
      </c>
      <c r="B4" s="3" t="s">
        <v>55</v>
      </c>
      <c r="C4" s="4">
        <v>31825</v>
      </c>
      <c r="D4" s="4">
        <v>59375</v>
      </c>
      <c r="E4" s="4">
        <v>31825</v>
      </c>
      <c r="F4" s="4">
        <v>59375</v>
      </c>
      <c r="G4" s="4">
        <v>-27550</v>
      </c>
      <c r="H4" s="4">
        <v>59375</v>
      </c>
    </row>
    <row r="5" spans="1:8" ht="11.65" x14ac:dyDescent="0.35">
      <c r="A5" s="3" t="s">
        <v>58</v>
      </c>
      <c r="B5" s="3" t="s">
        <v>59</v>
      </c>
      <c r="C5" s="6">
        <v>60750</v>
      </c>
      <c r="D5" s="6">
        <v>96000</v>
      </c>
      <c r="E5" s="6">
        <v>60750</v>
      </c>
      <c r="F5" s="6">
        <v>96000</v>
      </c>
      <c r="G5" s="6">
        <v>-35250</v>
      </c>
      <c r="H5" s="6">
        <v>96000</v>
      </c>
    </row>
    <row r="6" spans="1:8" ht="11.65" x14ac:dyDescent="0.35">
      <c r="A6" s="7"/>
      <c r="B6" s="7" t="s">
        <v>12</v>
      </c>
      <c r="C6" s="8">
        <v>92575</v>
      </c>
      <c r="D6" s="8">
        <v>155375</v>
      </c>
      <c r="E6" s="8">
        <v>92575</v>
      </c>
      <c r="F6" s="8">
        <v>155375</v>
      </c>
      <c r="G6" s="8">
        <v>-62800</v>
      </c>
      <c r="H6" s="8">
        <v>155375</v>
      </c>
    </row>
    <row r="7" spans="1:8" ht="11.65" x14ac:dyDescent="0.35">
      <c r="A7" s="7"/>
      <c r="B7" s="7"/>
      <c r="C7" s="33"/>
      <c r="D7" s="9"/>
      <c r="E7" s="9"/>
      <c r="F7" s="9"/>
      <c r="G7" s="9"/>
      <c r="H7" s="9"/>
    </row>
    <row r="8" spans="1:8" ht="13.15" x14ac:dyDescent="0.4">
      <c r="A8" s="29" t="s">
        <v>13</v>
      </c>
      <c r="B8" s="30"/>
      <c r="C8" s="30"/>
      <c r="D8" s="30"/>
      <c r="E8" s="30"/>
      <c r="F8" s="30"/>
      <c r="G8" s="30"/>
      <c r="H8" s="30"/>
    </row>
    <row r="9" spans="1:8" ht="11.65" x14ac:dyDescent="0.35">
      <c r="A9" s="3" t="s">
        <v>16</v>
      </c>
      <c r="B9" s="3" t="s">
        <v>17</v>
      </c>
      <c r="C9" s="5">
        <v>0</v>
      </c>
      <c r="D9" s="5">
        <v>2400</v>
      </c>
      <c r="E9" s="5">
        <v>0</v>
      </c>
      <c r="F9" s="5">
        <v>2400</v>
      </c>
      <c r="G9" s="5">
        <v>-2400</v>
      </c>
      <c r="H9" s="5">
        <v>2400</v>
      </c>
    </row>
    <row r="10" spans="1:8" ht="11.65" x14ac:dyDescent="0.35">
      <c r="A10" s="3" t="s">
        <v>18</v>
      </c>
      <c r="B10" s="3" t="s">
        <v>19</v>
      </c>
      <c r="C10" s="5">
        <v>0</v>
      </c>
      <c r="D10" s="5">
        <v>100</v>
      </c>
      <c r="E10" s="5">
        <v>0</v>
      </c>
      <c r="F10" s="5">
        <v>100</v>
      </c>
      <c r="G10" s="5">
        <v>-100</v>
      </c>
      <c r="H10" s="5">
        <v>100</v>
      </c>
    </row>
    <row r="11" spans="1:8" ht="11.65" x14ac:dyDescent="0.35">
      <c r="A11" s="3" t="s">
        <v>20</v>
      </c>
      <c r="B11" s="3" t="s">
        <v>21</v>
      </c>
      <c r="C11" s="5">
        <v>270.10000000000002</v>
      </c>
      <c r="D11" s="5">
        <v>350</v>
      </c>
      <c r="E11" s="5">
        <v>270.10000000000002</v>
      </c>
      <c r="F11" s="5">
        <v>350</v>
      </c>
      <c r="G11" s="5">
        <v>-79.900000000000006</v>
      </c>
      <c r="H11" s="5">
        <v>350</v>
      </c>
    </row>
    <row r="12" spans="1:8" ht="11.65" x14ac:dyDescent="0.35">
      <c r="A12" s="3" t="s">
        <v>24</v>
      </c>
      <c r="B12" s="3" t="s">
        <v>25</v>
      </c>
      <c r="C12" s="5">
        <v>964.84</v>
      </c>
      <c r="D12" s="5">
        <v>4952.24</v>
      </c>
      <c r="E12" s="5">
        <v>964.84</v>
      </c>
      <c r="F12" s="5">
        <v>4952.24</v>
      </c>
      <c r="G12" s="5">
        <v>-3987.4</v>
      </c>
      <c r="H12" s="5">
        <v>4952.24</v>
      </c>
    </row>
    <row r="13" spans="1:8" ht="11.65" x14ac:dyDescent="0.35">
      <c r="A13" s="3" t="s">
        <v>26</v>
      </c>
      <c r="B13" s="3" t="s">
        <v>27</v>
      </c>
      <c r="C13" s="5">
        <v>0</v>
      </c>
      <c r="D13" s="5">
        <v>1500</v>
      </c>
      <c r="E13" s="5">
        <v>0</v>
      </c>
      <c r="F13" s="5">
        <v>1500</v>
      </c>
      <c r="G13" s="5">
        <v>-1500</v>
      </c>
      <c r="H13" s="5">
        <v>1500</v>
      </c>
    </row>
    <row r="14" spans="1:8" ht="11.65" x14ac:dyDescent="0.35">
      <c r="A14" s="3" t="s">
        <v>28</v>
      </c>
      <c r="B14" s="3" t="s">
        <v>29</v>
      </c>
      <c r="C14" s="5">
        <v>161.85</v>
      </c>
      <c r="D14" s="5">
        <v>9000</v>
      </c>
      <c r="E14" s="5">
        <v>161.85</v>
      </c>
      <c r="F14" s="5">
        <v>9000</v>
      </c>
      <c r="G14" s="5">
        <v>-8838.15</v>
      </c>
      <c r="H14" s="5">
        <v>9000</v>
      </c>
    </row>
    <row r="15" spans="1:8" ht="11.65" x14ac:dyDescent="0.35">
      <c r="A15" s="3" t="s">
        <v>66</v>
      </c>
      <c r="B15" s="3" t="s">
        <v>67</v>
      </c>
      <c r="C15" s="5">
        <v>0</v>
      </c>
      <c r="D15" s="5">
        <v>8350</v>
      </c>
      <c r="E15" s="5">
        <v>0</v>
      </c>
      <c r="F15" s="5">
        <v>8350</v>
      </c>
      <c r="G15" s="5">
        <v>-8350</v>
      </c>
      <c r="H15" s="5">
        <v>8350</v>
      </c>
    </row>
    <row r="16" spans="1:8" ht="11.65" x14ac:dyDescent="0.35">
      <c r="A16" s="3" t="s">
        <v>74</v>
      </c>
      <c r="B16" s="3" t="s">
        <v>75</v>
      </c>
      <c r="C16" s="5">
        <v>0</v>
      </c>
      <c r="D16" s="5">
        <v>100</v>
      </c>
      <c r="E16" s="5">
        <v>0</v>
      </c>
      <c r="F16" s="5">
        <v>100</v>
      </c>
      <c r="G16" s="5">
        <v>-100</v>
      </c>
      <c r="H16" s="5">
        <v>100</v>
      </c>
    </row>
    <row r="17" spans="1:8" ht="11.65" x14ac:dyDescent="0.35">
      <c r="A17" s="3" t="s">
        <v>80</v>
      </c>
      <c r="B17" s="3" t="s">
        <v>81</v>
      </c>
      <c r="C17" s="5">
        <v>57948.44</v>
      </c>
      <c r="D17" s="5">
        <v>81600</v>
      </c>
      <c r="E17" s="5">
        <v>57948.44</v>
      </c>
      <c r="F17" s="5">
        <v>81600</v>
      </c>
      <c r="G17" s="5">
        <v>-23651.56</v>
      </c>
      <c r="H17" s="5">
        <v>81600</v>
      </c>
    </row>
    <row r="18" spans="1:8" ht="11.65" x14ac:dyDescent="0.35">
      <c r="A18" s="3" t="s">
        <v>84</v>
      </c>
      <c r="B18" s="3" t="s">
        <v>85</v>
      </c>
      <c r="C18" s="5">
        <v>0</v>
      </c>
      <c r="D18" s="5">
        <v>1500</v>
      </c>
      <c r="E18" s="5">
        <v>0</v>
      </c>
      <c r="F18" s="5">
        <v>1500</v>
      </c>
      <c r="G18" s="5">
        <v>-1500</v>
      </c>
      <c r="H18" s="5">
        <v>1500</v>
      </c>
    </row>
    <row r="19" spans="1:8" ht="11.65" x14ac:dyDescent="0.35">
      <c r="A19" s="3" t="s">
        <v>88</v>
      </c>
      <c r="B19" s="3" t="s">
        <v>89</v>
      </c>
      <c r="C19" s="5">
        <v>0</v>
      </c>
      <c r="D19" s="5">
        <v>1500</v>
      </c>
      <c r="E19" s="5">
        <v>0</v>
      </c>
      <c r="F19" s="5">
        <v>1500</v>
      </c>
      <c r="G19" s="5">
        <v>-1500</v>
      </c>
      <c r="H19" s="5">
        <v>1500</v>
      </c>
    </row>
    <row r="20" spans="1:8" ht="11.65" x14ac:dyDescent="0.35">
      <c r="A20" s="3" t="s">
        <v>90</v>
      </c>
      <c r="B20" s="3" t="s">
        <v>91</v>
      </c>
      <c r="C20" s="6">
        <v>0</v>
      </c>
      <c r="D20" s="6">
        <v>1500</v>
      </c>
      <c r="E20" s="6">
        <v>0</v>
      </c>
      <c r="F20" s="6">
        <v>1500</v>
      </c>
      <c r="G20" s="6">
        <v>-1500</v>
      </c>
      <c r="H20" s="6">
        <v>1500</v>
      </c>
    </row>
    <row r="21" spans="1:8" ht="11.65" x14ac:dyDescent="0.35">
      <c r="A21" s="7"/>
      <c r="B21" s="7" t="s">
        <v>34</v>
      </c>
      <c r="C21" s="8">
        <v>59345.23</v>
      </c>
      <c r="D21" s="8">
        <v>112852.24</v>
      </c>
      <c r="E21" s="8">
        <v>59345.23</v>
      </c>
      <c r="F21" s="8">
        <v>112852.24</v>
      </c>
      <c r="G21" s="8">
        <v>-53507.01</v>
      </c>
      <c r="H21" s="8">
        <v>112852.24</v>
      </c>
    </row>
    <row r="22" spans="1:8" ht="11.65" x14ac:dyDescent="0.35">
      <c r="A22" s="7"/>
      <c r="B22" s="7"/>
      <c r="C22" s="9"/>
      <c r="D22" s="9"/>
      <c r="E22" s="9"/>
      <c r="F22" s="9"/>
      <c r="G22" s="9"/>
      <c r="H22" s="9"/>
    </row>
    <row r="23" spans="1:8" ht="11.65" x14ac:dyDescent="0.35">
      <c r="A23" s="7"/>
      <c r="B23" s="7" t="s">
        <v>35</v>
      </c>
      <c r="C23" s="10">
        <v>33229.769999999997</v>
      </c>
      <c r="D23" s="10">
        <v>42522.76</v>
      </c>
      <c r="E23" s="10">
        <v>33229.769999999997</v>
      </c>
      <c r="F23" s="10">
        <v>42522.76</v>
      </c>
      <c r="G23" s="10">
        <v>-9292.99</v>
      </c>
      <c r="H23" s="10">
        <v>42522.76</v>
      </c>
    </row>
  </sheetData>
  <mergeCells count="2">
    <mergeCell ref="A3:H3"/>
    <mergeCell ref="A8:H8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topLeftCell="A21" workbookViewId="0">
      <selection activeCell="C34" sqref="C34:H3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10</v>
      </c>
      <c r="B4" s="3" t="s">
        <v>11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75000</v>
      </c>
    </row>
    <row r="5" spans="1:8" ht="11.65" x14ac:dyDescent="0.35">
      <c r="A5" s="3" t="s">
        <v>145</v>
      </c>
      <c r="B5" s="3" t="s">
        <v>146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200</v>
      </c>
    </row>
    <row r="6" spans="1:8" ht="11.65" x14ac:dyDescent="0.35">
      <c r="A6" s="3" t="s">
        <v>54</v>
      </c>
      <c r="B6" s="3" t="s">
        <v>55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581000</v>
      </c>
    </row>
    <row r="7" spans="1:8" ht="11.65" x14ac:dyDescent="0.35">
      <c r="A7" s="3" t="s">
        <v>147</v>
      </c>
      <c r="B7" s="3" t="s">
        <v>148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37500</v>
      </c>
    </row>
    <row r="8" spans="1:8" ht="11.65" x14ac:dyDescent="0.35">
      <c r="A8" s="3" t="s">
        <v>58</v>
      </c>
      <c r="B8" s="3" t="s">
        <v>59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100000</v>
      </c>
    </row>
    <row r="9" spans="1:8" ht="11.65" x14ac:dyDescent="0.35">
      <c r="A9" s="3" t="s">
        <v>60</v>
      </c>
      <c r="B9" s="3" t="s">
        <v>61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290000</v>
      </c>
    </row>
    <row r="10" spans="1:8" ht="11.65" x14ac:dyDescent="0.35">
      <c r="A10" s="7"/>
      <c r="B10" s="7" t="s">
        <v>12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1083700</v>
      </c>
    </row>
    <row r="11" spans="1:8" ht="11.65" x14ac:dyDescent="0.35">
      <c r="A11" s="7"/>
      <c r="B11" s="7"/>
      <c r="C11" s="9"/>
      <c r="D11" s="9"/>
      <c r="E11" s="9"/>
      <c r="F11" s="9"/>
      <c r="G11" s="9"/>
      <c r="H11" s="9"/>
    </row>
    <row r="12" spans="1:8" ht="13.15" x14ac:dyDescent="0.4">
      <c r="A12" s="29" t="s">
        <v>13</v>
      </c>
      <c r="B12" s="30"/>
      <c r="C12" s="30"/>
      <c r="D12" s="30"/>
      <c r="E12" s="30"/>
      <c r="F12" s="30"/>
      <c r="G12" s="30"/>
      <c r="H12" s="30"/>
    </row>
    <row r="13" spans="1:8" ht="11.65" x14ac:dyDescent="0.35">
      <c r="A13" s="3" t="s">
        <v>16</v>
      </c>
      <c r="B13" s="3" t="s">
        <v>17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100</v>
      </c>
    </row>
    <row r="14" spans="1:8" ht="11.65" x14ac:dyDescent="0.35">
      <c r="A14" s="3" t="s">
        <v>64</v>
      </c>
      <c r="B14" s="3" t="s">
        <v>65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5500</v>
      </c>
    </row>
    <row r="15" spans="1:8" ht="11.65" x14ac:dyDescent="0.35">
      <c r="A15" s="3" t="s">
        <v>18</v>
      </c>
      <c r="B15" s="3" t="s">
        <v>19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1250</v>
      </c>
    </row>
    <row r="16" spans="1:8" ht="11.65" x14ac:dyDescent="0.35">
      <c r="A16" s="3" t="s">
        <v>149</v>
      </c>
      <c r="B16" s="3" t="s">
        <v>150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15000</v>
      </c>
    </row>
    <row r="17" spans="1:8" ht="11.65" x14ac:dyDescent="0.35">
      <c r="A17" s="3" t="s">
        <v>20</v>
      </c>
      <c r="B17" s="3" t="s">
        <v>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500</v>
      </c>
    </row>
    <row r="18" spans="1:8" ht="11.65" x14ac:dyDescent="0.35">
      <c r="A18" s="3" t="s">
        <v>22</v>
      </c>
      <c r="B18" s="3" t="s">
        <v>23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3500</v>
      </c>
    </row>
    <row r="19" spans="1:8" ht="11.65" x14ac:dyDescent="0.35">
      <c r="A19" s="3" t="s">
        <v>26</v>
      </c>
      <c r="B19" s="3" t="s">
        <v>27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5000</v>
      </c>
    </row>
    <row r="20" spans="1:8" ht="11.65" x14ac:dyDescent="0.35">
      <c r="A20" s="3" t="s">
        <v>28</v>
      </c>
      <c r="B20" s="3" t="s">
        <v>29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15000</v>
      </c>
    </row>
    <row r="21" spans="1:8" ht="11.65" x14ac:dyDescent="0.35">
      <c r="A21" s="3" t="s">
        <v>66</v>
      </c>
      <c r="B21" s="3" t="s">
        <v>67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125000</v>
      </c>
    </row>
    <row r="22" spans="1:8" ht="11.65" x14ac:dyDescent="0.35">
      <c r="A22" s="3" t="s">
        <v>68</v>
      </c>
      <c r="B22" s="3" t="s">
        <v>69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20000</v>
      </c>
    </row>
    <row r="23" spans="1:8" ht="11.65" x14ac:dyDescent="0.35">
      <c r="A23" s="3" t="s">
        <v>70</v>
      </c>
      <c r="B23" s="3" t="s">
        <v>71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12000</v>
      </c>
    </row>
    <row r="24" spans="1:8" ht="11.65" x14ac:dyDescent="0.35">
      <c r="A24" s="3" t="s">
        <v>74</v>
      </c>
      <c r="B24" s="3" t="s">
        <v>75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6000</v>
      </c>
    </row>
    <row r="25" spans="1:8" ht="11.65" x14ac:dyDescent="0.35">
      <c r="A25" s="3" t="s">
        <v>76</v>
      </c>
      <c r="B25" s="3" t="s">
        <v>77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25000</v>
      </c>
    </row>
    <row r="26" spans="1:8" ht="11.65" x14ac:dyDescent="0.35">
      <c r="A26" s="3" t="s">
        <v>80</v>
      </c>
      <c r="B26" s="3" t="s">
        <v>81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525000</v>
      </c>
    </row>
    <row r="27" spans="1:8" ht="11.65" x14ac:dyDescent="0.35">
      <c r="A27" s="3" t="s">
        <v>151</v>
      </c>
      <c r="B27" s="3" t="s">
        <v>152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4500</v>
      </c>
    </row>
    <row r="28" spans="1:8" ht="11.65" x14ac:dyDescent="0.35">
      <c r="A28" s="3" t="s">
        <v>84</v>
      </c>
      <c r="B28" s="3" t="s">
        <v>85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3500</v>
      </c>
    </row>
    <row r="29" spans="1:8" ht="11.65" x14ac:dyDescent="0.35">
      <c r="A29" s="3" t="s">
        <v>88</v>
      </c>
      <c r="B29" s="3" t="s">
        <v>89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150000</v>
      </c>
    </row>
    <row r="30" spans="1:8" ht="11.65" x14ac:dyDescent="0.35">
      <c r="A30" s="3" t="s">
        <v>90</v>
      </c>
      <c r="B30" s="3" t="s">
        <v>91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20000</v>
      </c>
    </row>
    <row r="31" spans="1:8" ht="11.65" x14ac:dyDescent="0.35">
      <c r="A31" s="3" t="s">
        <v>153</v>
      </c>
      <c r="B31" s="3" t="s">
        <v>154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26000</v>
      </c>
    </row>
    <row r="32" spans="1:8" ht="11.65" x14ac:dyDescent="0.35">
      <c r="A32" s="7"/>
      <c r="B32" s="7" t="s">
        <v>34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962850</v>
      </c>
    </row>
    <row r="33" spans="1:8" ht="11.65" x14ac:dyDescent="0.35">
      <c r="A33" s="7"/>
      <c r="B33" s="7"/>
      <c r="C33" s="9"/>
      <c r="D33" s="9"/>
      <c r="E33" s="9"/>
      <c r="F33" s="9"/>
      <c r="G33" s="9"/>
      <c r="H33" s="9"/>
    </row>
    <row r="34" spans="1:8" ht="11.65" x14ac:dyDescent="0.35">
      <c r="A34" s="7"/>
      <c r="B34" s="7" t="s">
        <v>35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120850</v>
      </c>
    </row>
  </sheetData>
  <mergeCells count="2">
    <mergeCell ref="A3:H3"/>
    <mergeCell ref="A12:H12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7"/>
      <c r="B4" s="7"/>
      <c r="C4" s="9"/>
      <c r="D4" s="9"/>
      <c r="E4" s="9"/>
      <c r="F4" s="9"/>
      <c r="G4" s="9"/>
      <c r="H4" s="9"/>
    </row>
    <row r="5" spans="1:8" ht="13.15" x14ac:dyDescent="0.4">
      <c r="A5" s="29" t="s">
        <v>13</v>
      </c>
      <c r="B5" s="30"/>
      <c r="C5" s="30"/>
      <c r="D5" s="30"/>
      <c r="E5" s="30"/>
      <c r="F5" s="30"/>
      <c r="G5" s="30"/>
      <c r="H5" s="30"/>
    </row>
    <row r="6" spans="1:8" ht="11.65" x14ac:dyDescent="0.35">
      <c r="A6" s="3" t="s">
        <v>16</v>
      </c>
      <c r="B6" s="3" t="s">
        <v>17</v>
      </c>
      <c r="C6" s="4">
        <v>67.88</v>
      </c>
      <c r="D6" s="4">
        <v>0</v>
      </c>
      <c r="E6" s="4">
        <v>67.88</v>
      </c>
      <c r="F6" s="4">
        <v>0</v>
      </c>
      <c r="G6" s="4">
        <v>67.88</v>
      </c>
      <c r="H6" s="4">
        <v>0</v>
      </c>
    </row>
    <row r="7" spans="1:8" ht="11.65" x14ac:dyDescent="0.35">
      <c r="A7" s="3" t="s">
        <v>20</v>
      </c>
      <c r="B7" s="3" t="s">
        <v>21</v>
      </c>
      <c r="C7" s="5">
        <v>0</v>
      </c>
      <c r="D7" s="5">
        <v>0</v>
      </c>
      <c r="E7" s="5">
        <v>0.14000000000000001</v>
      </c>
      <c r="F7" s="5">
        <v>0</v>
      </c>
      <c r="G7" s="5">
        <v>0.14000000000000001</v>
      </c>
      <c r="H7" s="5">
        <v>0</v>
      </c>
    </row>
    <row r="8" spans="1:8" ht="11.65" x14ac:dyDescent="0.35">
      <c r="A8" s="3" t="s">
        <v>24</v>
      </c>
      <c r="B8" s="3" t="s">
        <v>25</v>
      </c>
      <c r="C8" s="5">
        <v>32161.46</v>
      </c>
      <c r="D8" s="5">
        <v>39583.33</v>
      </c>
      <c r="E8" s="5">
        <v>64322.92</v>
      </c>
      <c r="F8" s="5">
        <v>79166.66</v>
      </c>
      <c r="G8" s="5">
        <v>-14843.74</v>
      </c>
      <c r="H8" s="5">
        <v>475000</v>
      </c>
    </row>
    <row r="9" spans="1:8" ht="11.65" x14ac:dyDescent="0.35">
      <c r="A9" s="3" t="s">
        <v>28</v>
      </c>
      <c r="B9" s="3" t="s">
        <v>29</v>
      </c>
      <c r="C9" s="5">
        <v>56.72</v>
      </c>
      <c r="D9" s="5">
        <v>60</v>
      </c>
      <c r="E9" s="5">
        <v>550.25</v>
      </c>
      <c r="F9" s="5">
        <v>550</v>
      </c>
      <c r="G9" s="5">
        <v>0.25</v>
      </c>
      <c r="H9" s="5">
        <v>15000</v>
      </c>
    </row>
    <row r="10" spans="1:8" ht="11.65" x14ac:dyDescent="0.35">
      <c r="A10" s="3" t="s">
        <v>151</v>
      </c>
      <c r="B10" s="3" t="s">
        <v>152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7500</v>
      </c>
    </row>
    <row r="11" spans="1:8" ht="11.65" x14ac:dyDescent="0.35">
      <c r="A11" s="3" t="s">
        <v>30</v>
      </c>
      <c r="B11" s="3" t="s">
        <v>31</v>
      </c>
      <c r="C11" s="5">
        <v>3674.56</v>
      </c>
      <c r="D11" s="5">
        <v>3600</v>
      </c>
      <c r="E11" s="5">
        <v>7349.12</v>
      </c>
      <c r="F11" s="5">
        <v>7350</v>
      </c>
      <c r="G11" s="5">
        <v>-0.88</v>
      </c>
      <c r="H11" s="5">
        <v>66100</v>
      </c>
    </row>
    <row r="12" spans="1:8" ht="11.65" x14ac:dyDescent="0.35">
      <c r="A12" s="3" t="s">
        <v>32</v>
      </c>
      <c r="B12" s="3" t="s">
        <v>33</v>
      </c>
      <c r="C12" s="6">
        <v>835.68</v>
      </c>
      <c r="D12" s="6">
        <v>792</v>
      </c>
      <c r="E12" s="6">
        <v>1634.09</v>
      </c>
      <c r="F12" s="6">
        <v>1584</v>
      </c>
      <c r="G12" s="6">
        <v>50.09</v>
      </c>
      <c r="H12" s="6">
        <v>9504</v>
      </c>
    </row>
    <row r="13" spans="1:8" ht="11.65" x14ac:dyDescent="0.35">
      <c r="A13" s="7"/>
      <c r="B13" s="7" t="s">
        <v>34</v>
      </c>
      <c r="C13" s="8">
        <v>36796.300000000003</v>
      </c>
      <c r="D13" s="8">
        <v>44035.33</v>
      </c>
      <c r="E13" s="8">
        <v>73924.399999999994</v>
      </c>
      <c r="F13" s="8">
        <v>88650.66</v>
      </c>
      <c r="G13" s="8">
        <v>-14726.26</v>
      </c>
      <c r="H13" s="8">
        <v>573104</v>
      </c>
    </row>
    <row r="14" spans="1:8" ht="11.65" x14ac:dyDescent="0.35">
      <c r="A14" s="7"/>
      <c r="B14" s="7"/>
      <c r="C14" s="9"/>
      <c r="D14" s="9"/>
      <c r="E14" s="9"/>
      <c r="F14" s="9"/>
      <c r="G14" s="9"/>
      <c r="H14" s="9"/>
    </row>
    <row r="15" spans="1:8" ht="11.65" x14ac:dyDescent="0.35">
      <c r="A15" s="7"/>
      <c r="B15" s="7" t="s">
        <v>35</v>
      </c>
      <c r="C15" s="10">
        <v>-36796.300000000003</v>
      </c>
      <c r="D15" s="10">
        <v>-44035.33</v>
      </c>
      <c r="E15" s="10">
        <v>-73924.399999999994</v>
      </c>
      <c r="F15" s="10">
        <v>-88650.66</v>
      </c>
      <c r="G15" s="10">
        <v>14726.26</v>
      </c>
      <c r="H15" s="10">
        <v>-573104</v>
      </c>
    </row>
  </sheetData>
  <mergeCells count="2">
    <mergeCell ref="A3:H3"/>
    <mergeCell ref="A5:H5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topLeftCell="A6" workbookViewId="0">
      <selection activeCell="C21" sqref="C21:H2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9" t="s">
        <v>9</v>
      </c>
      <c r="B3" s="30"/>
      <c r="C3" s="30"/>
      <c r="D3" s="30"/>
      <c r="E3" s="30"/>
      <c r="F3" s="30"/>
      <c r="G3" s="30"/>
      <c r="H3" s="30"/>
    </row>
    <row r="4" spans="1:8" ht="11.65" x14ac:dyDescent="0.35">
      <c r="A4" s="3" t="s">
        <v>155</v>
      </c>
      <c r="B4" s="3" t="s">
        <v>156</v>
      </c>
      <c r="C4" s="11">
        <v>6520</v>
      </c>
      <c r="D4" s="11">
        <v>6500</v>
      </c>
      <c r="E4" s="11">
        <v>24281</v>
      </c>
      <c r="F4" s="11">
        <v>24300</v>
      </c>
      <c r="G4" s="11">
        <v>-19</v>
      </c>
      <c r="H4" s="11">
        <v>75000</v>
      </c>
    </row>
    <row r="5" spans="1:8" ht="11.65" x14ac:dyDescent="0.35">
      <c r="A5" s="7"/>
      <c r="B5" s="7" t="s">
        <v>12</v>
      </c>
      <c r="C5" s="8">
        <v>6520</v>
      </c>
      <c r="D5" s="8">
        <v>6500</v>
      </c>
      <c r="E5" s="8">
        <v>24281</v>
      </c>
      <c r="F5" s="8">
        <v>24300</v>
      </c>
      <c r="G5" s="8">
        <v>-19</v>
      </c>
      <c r="H5" s="8">
        <v>75000</v>
      </c>
    </row>
    <row r="6" spans="1:8" ht="11.65" x14ac:dyDescent="0.35">
      <c r="A6" s="7"/>
      <c r="B6" s="7"/>
      <c r="C6" s="9"/>
      <c r="D6" s="9"/>
      <c r="E6" s="9"/>
      <c r="F6" s="9"/>
      <c r="G6" s="9"/>
      <c r="H6" s="9"/>
    </row>
    <row r="7" spans="1:8" ht="13.15" x14ac:dyDescent="0.4">
      <c r="A7" s="29" t="s">
        <v>13</v>
      </c>
      <c r="B7" s="30"/>
      <c r="C7" s="30"/>
      <c r="D7" s="30"/>
      <c r="E7" s="30"/>
      <c r="F7" s="30"/>
      <c r="G7" s="30"/>
      <c r="H7" s="30"/>
    </row>
    <row r="8" spans="1:8" ht="11.65" x14ac:dyDescent="0.35">
      <c r="A8" s="3" t="s">
        <v>16</v>
      </c>
      <c r="B8" s="3" t="s">
        <v>17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1000</v>
      </c>
    </row>
    <row r="9" spans="1:8" ht="11.65" x14ac:dyDescent="0.35">
      <c r="A9" s="3" t="s">
        <v>20</v>
      </c>
      <c r="B9" s="3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3500</v>
      </c>
    </row>
    <row r="10" spans="1:8" ht="11.65" x14ac:dyDescent="0.35">
      <c r="A10" s="3" t="s">
        <v>26</v>
      </c>
      <c r="B10" s="3" t="s">
        <v>27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1000</v>
      </c>
    </row>
    <row r="11" spans="1:8" ht="11.65" x14ac:dyDescent="0.35">
      <c r="A11" s="3" t="s">
        <v>42</v>
      </c>
      <c r="B11" s="3" t="s">
        <v>43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10000</v>
      </c>
    </row>
    <row r="12" spans="1:8" ht="11.65" x14ac:dyDescent="0.35">
      <c r="A12" s="3" t="s">
        <v>157</v>
      </c>
      <c r="B12" s="3" t="s">
        <v>158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1500</v>
      </c>
    </row>
    <row r="13" spans="1:8" ht="11.65" x14ac:dyDescent="0.35">
      <c r="A13" s="3" t="s">
        <v>159</v>
      </c>
      <c r="B13" s="3" t="s">
        <v>160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1000</v>
      </c>
    </row>
    <row r="14" spans="1:8" ht="11.65" x14ac:dyDescent="0.35">
      <c r="A14" s="3" t="s">
        <v>161</v>
      </c>
      <c r="B14" s="3" t="s">
        <v>162</v>
      </c>
      <c r="C14" s="5">
        <v>363.84</v>
      </c>
      <c r="D14" s="5">
        <v>364</v>
      </c>
      <c r="E14" s="5">
        <v>771.84</v>
      </c>
      <c r="F14" s="5">
        <v>772</v>
      </c>
      <c r="G14" s="5">
        <v>-0.16</v>
      </c>
      <c r="H14" s="5">
        <v>10000</v>
      </c>
    </row>
    <row r="15" spans="1:8" ht="11.65" x14ac:dyDescent="0.35">
      <c r="A15" s="3" t="s">
        <v>163</v>
      </c>
      <c r="B15" s="3" t="s">
        <v>164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5000</v>
      </c>
    </row>
    <row r="16" spans="1:8" ht="11.65" x14ac:dyDescent="0.35">
      <c r="A16" s="3" t="s">
        <v>165</v>
      </c>
      <c r="B16" s="3" t="s">
        <v>166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500</v>
      </c>
    </row>
    <row r="17" spans="1:8" ht="11.65" x14ac:dyDescent="0.35">
      <c r="A17" s="3" t="s">
        <v>167</v>
      </c>
      <c r="B17" s="3" t="s">
        <v>168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1200</v>
      </c>
    </row>
    <row r="18" spans="1:8" ht="11.65" x14ac:dyDescent="0.35">
      <c r="A18" s="3" t="s">
        <v>169</v>
      </c>
      <c r="B18" s="3" t="s">
        <v>170</v>
      </c>
      <c r="C18" s="6">
        <v>16866.97</v>
      </c>
      <c r="D18" s="6">
        <v>0</v>
      </c>
      <c r="E18" s="6">
        <v>16866.97</v>
      </c>
      <c r="F18" s="6">
        <v>0</v>
      </c>
      <c r="G18" s="6">
        <v>16866.97</v>
      </c>
      <c r="H18" s="6">
        <v>40000</v>
      </c>
    </row>
    <row r="19" spans="1:8" ht="11.65" x14ac:dyDescent="0.35">
      <c r="A19" s="7"/>
      <c r="B19" s="7" t="s">
        <v>34</v>
      </c>
      <c r="C19" s="8">
        <v>17230.810000000001</v>
      </c>
      <c r="D19" s="8">
        <v>364</v>
      </c>
      <c r="E19" s="8">
        <v>17638.810000000001</v>
      </c>
      <c r="F19" s="8">
        <v>772</v>
      </c>
      <c r="G19" s="8">
        <v>16866.810000000001</v>
      </c>
      <c r="H19" s="8">
        <v>74700</v>
      </c>
    </row>
    <row r="20" spans="1:8" ht="11.65" x14ac:dyDescent="0.35">
      <c r="A20" s="7"/>
      <c r="B20" s="7"/>
      <c r="C20" s="9"/>
      <c r="D20" s="9"/>
      <c r="E20" s="9"/>
      <c r="F20" s="9"/>
      <c r="G20" s="9"/>
      <c r="H20" s="9"/>
    </row>
    <row r="21" spans="1:8" ht="11.65" x14ac:dyDescent="0.35">
      <c r="A21" s="7"/>
      <c r="B21" s="7" t="s">
        <v>35</v>
      </c>
      <c r="C21" s="10">
        <v>-10710.81</v>
      </c>
      <c r="D21" s="10">
        <v>6136</v>
      </c>
      <c r="E21" s="10">
        <v>6642.19</v>
      </c>
      <c r="F21" s="10">
        <v>23528</v>
      </c>
      <c r="G21" s="10">
        <v>-16885.810000000001</v>
      </c>
      <c r="H21" s="10">
        <v>300</v>
      </c>
    </row>
  </sheetData>
  <mergeCells count="2">
    <mergeCell ref="A3:H3"/>
    <mergeCell ref="A7:H7"/>
  </mergeCells>
  <pageMargins left="0.5" right="0.5" top="0.40000000596046448" bottom="0.40000000596046448" header="0.03" footer="0.03"/>
  <pageSetup scale="93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DFFE-DCA7-415A-8E5B-DBAA1B740171}">
  <dimension ref="A2:B3"/>
  <sheetViews>
    <sheetView tabSelected="1" workbookViewId="0">
      <selection activeCell="B4" sqref="B4"/>
    </sheetView>
  </sheetViews>
  <sheetFormatPr defaultRowHeight="10.5" x14ac:dyDescent="0.3"/>
  <cols>
    <col min="2" max="2" width="10.33203125" bestFit="1" customWidth="1"/>
  </cols>
  <sheetData>
    <row r="2" spans="1:2" x14ac:dyDescent="0.3">
      <c r="A2" s="31" t="s">
        <v>265</v>
      </c>
      <c r="B2" s="32">
        <f>SUM('DEPARTMENT 202-F'!C5,'DEPARTMENT 198-F'!C10,'DEPARTMENT 195-F'!C6,'DEPARTMENT 192-F'!C6,'DEPARTMENT 190-F'!C9,'DEPARTMENT 188-F'!C6,'DEPARTMENT 186-F'!C11,'DEPARTMENT 185-F'!C10,'DEPARTMENT 182-F'!C9,'DEPARTMENT 180-F'!C29)</f>
        <v>506729.47000000003</v>
      </c>
    </row>
    <row r="3" spans="1:2" x14ac:dyDescent="0.3">
      <c r="A3" s="31" t="s">
        <v>266</v>
      </c>
      <c r="B3" s="32">
        <f>SUM('DEPARTMENT 202-F'!C19,'DEPARTMENT 199-F'!C13,'DEPARTMENT 198-F'!C32,'DEPARTMENT 195-F'!C21,'DEPARTMENT 192-F'!C12,'DEPARTMENT 190-F'!C16,'DEPARTMENT 188-F'!C23,'DEPARTMENT 186-F'!C20,'DEPARTMENT 185-F'!C10,'DEPARTMENT 182-F'!C35,'DEPARTMENT 181-F'!C20,'DEPARTMENT 180-F'!C85)</f>
        <v>349017.74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Sheet1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Reynolds</cp:lastModifiedBy>
  <dcterms:modified xsi:type="dcterms:W3CDTF">2026-03-25T16:24:42Z</dcterms:modified>
</cp:coreProperties>
</file>