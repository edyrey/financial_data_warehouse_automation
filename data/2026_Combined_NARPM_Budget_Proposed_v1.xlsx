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test\Downloads\"/>
    </mc:Choice>
  </mc:AlternateContent>
  <xr:revisionPtr revIDLastSave="0" documentId="13_ncr:1_{B0101C61-3BD0-4642-B611-D1B2C2024D7D}" xr6:coauthVersionLast="47" xr6:coauthVersionMax="47" xr10:uidLastSave="{00000000-0000-0000-0000-000000000000}"/>
  <bookViews>
    <workbookView xWindow="9518" yWindow="0" windowWidth="9765" windowHeight="10162" tabRatio="986" firstSheet="11" activeTab="14" xr2:uid="{E9F0FFE0-7D83-48AB-839E-0771309705F4}"/>
  </bookViews>
  <sheets>
    <sheet name="180-Operations" sheetId="13" r:id="rId1"/>
    <sheet name="181-Member Services" sheetId="12" r:id="rId2"/>
    <sheet name="182-Convention" sheetId="16" r:id="rId3"/>
    <sheet name="185-Ch Leader Training" sheetId="11" r:id="rId4"/>
    <sheet name="186-Marketing" sheetId="10" r:id="rId5"/>
    <sheet name="188-Prof Development" sheetId="9" r:id="rId6"/>
    <sheet name="189-Womens Council" sheetId="8" r:id="rId7"/>
    <sheet name="190-Designations" sheetId="7" r:id="rId8"/>
    <sheet name="192-Res Resource" sheetId="6" r:id="rId9"/>
    <sheet name="195-Capitol Summit" sheetId="5" r:id="rId10"/>
    <sheet name="198-Broker Owner" sheetId="4" r:id="rId11"/>
    <sheet name="199-Govt Affairs" sheetId="3" r:id="rId12"/>
    <sheet name="202-Advocacy" sheetId="2" r:id="rId13"/>
    <sheet name="PAC" sheetId="15" r:id="rId14"/>
    <sheet name="Total Budget" sheetId="14" r:id="rId15"/>
  </sheets>
  <externalReferences>
    <externalReference r:id="rId16"/>
    <externalReference r:id="rId17"/>
  </externalReferences>
  <definedNames>
    <definedName name="_xlnm.Print_Titles" localSheetId="10">'198-Broker Owner'!$2:$3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 i="13" l="1"/>
  <c r="L20" i="13"/>
  <c r="K32" i="13"/>
  <c r="K47" i="13"/>
  <c r="K68" i="13"/>
  <c r="K98" i="13"/>
  <c r="K106" i="13"/>
  <c r="K24" i="12"/>
  <c r="K14" i="16"/>
  <c r="K44" i="16"/>
  <c r="K15" i="11"/>
  <c r="K34" i="10"/>
  <c r="K14" i="10"/>
  <c r="K37" i="9"/>
  <c r="K9" i="9"/>
  <c r="K17" i="8"/>
  <c r="K18" i="7"/>
  <c r="K11" i="7"/>
  <c r="K14" i="6"/>
  <c r="L24" i="5"/>
  <c r="K24" i="5"/>
  <c r="L7" i="5"/>
  <c r="K7" i="5"/>
  <c r="K11" i="4"/>
  <c r="K37" i="4"/>
  <c r="K17" i="3"/>
  <c r="K26" i="2"/>
  <c r="L26" i="2"/>
  <c r="L17" i="3"/>
  <c r="L11" i="4"/>
  <c r="L37" i="4"/>
  <c r="L7" i="6"/>
  <c r="L14" i="6"/>
  <c r="L11" i="7"/>
  <c r="L18" i="7"/>
  <c r="L9" i="9"/>
  <c r="L37" i="9"/>
  <c r="L14" i="10"/>
  <c r="L34" i="10"/>
  <c r="L15" i="11"/>
  <c r="L24" i="12"/>
  <c r="L108" i="13"/>
  <c r="L106" i="13"/>
  <c r="L98" i="13"/>
  <c r="L68" i="13"/>
  <c r="L47" i="13"/>
  <c r="L34" i="13"/>
  <c r="L32" i="13"/>
  <c r="I5" i="16"/>
  <c r="K5" i="16"/>
  <c r="I7" i="16"/>
  <c r="I8" i="16"/>
  <c r="K8" i="16"/>
  <c r="I13" i="16"/>
  <c r="K13" i="16"/>
  <c r="E14" i="16"/>
  <c r="H14" i="16"/>
  <c r="I14" i="16"/>
  <c r="J14" i="16"/>
  <c r="L14" i="16"/>
  <c r="M14" i="16"/>
  <c r="I35" i="16"/>
  <c r="D37" i="16"/>
  <c r="E44" i="16"/>
  <c r="H44" i="16"/>
  <c r="I44" i="16"/>
  <c r="J44" i="16"/>
  <c r="L44" i="16"/>
  <c r="M44" i="16"/>
  <c r="D46" i="16"/>
  <c r="E46" i="16"/>
  <c r="H46" i="16"/>
  <c r="I46" i="16"/>
  <c r="J46" i="16"/>
  <c r="L46" i="16"/>
  <c r="M46" i="16"/>
  <c r="E5" i="15"/>
  <c r="G5" i="15"/>
  <c r="H5" i="15"/>
  <c r="E10" i="15"/>
  <c r="G10" i="15"/>
  <c r="H10" i="15"/>
  <c r="D11" i="15"/>
  <c r="E11" i="15"/>
  <c r="G11" i="15"/>
  <c r="H11" i="15"/>
  <c r="K34" i="13" l="1"/>
  <c r="G13" i="14" s="1"/>
  <c r="K108" i="13"/>
  <c r="L20" i="7"/>
  <c r="K46" i="16"/>
  <c r="F110" i="13"/>
  <c r="M106" i="13"/>
  <c r="J106" i="13"/>
  <c r="I106" i="13"/>
  <c r="H106" i="13"/>
  <c r="E106" i="13"/>
  <c r="M98" i="13"/>
  <c r="J98" i="13"/>
  <c r="H98" i="13"/>
  <c r="E98" i="13"/>
  <c r="I92" i="13"/>
  <c r="I91" i="13"/>
  <c r="K80" i="13"/>
  <c r="M68" i="13"/>
  <c r="J68" i="13"/>
  <c r="I68" i="13"/>
  <c r="H68" i="13"/>
  <c r="E68" i="13"/>
  <c r="C68" i="13"/>
  <c r="L65" i="13"/>
  <c r="M47" i="13"/>
  <c r="J47" i="13"/>
  <c r="I47" i="13"/>
  <c r="H47" i="13"/>
  <c r="E47" i="13"/>
  <c r="J32" i="13"/>
  <c r="I32" i="13"/>
  <c r="H32" i="13"/>
  <c r="F32" i="13"/>
  <c r="E32" i="13"/>
  <c r="E34" i="13" s="1"/>
  <c r="M29" i="13"/>
  <c r="M32" i="13" s="1"/>
  <c r="H5" i="14"/>
  <c r="J20" i="13"/>
  <c r="I20" i="13"/>
  <c r="H20" i="13"/>
  <c r="E20" i="13"/>
  <c r="M17" i="13"/>
  <c r="M16" i="13"/>
  <c r="M14" i="13"/>
  <c r="M12" i="13"/>
  <c r="M7" i="13"/>
  <c r="H12" i="14" l="1"/>
  <c r="H7" i="14"/>
  <c r="J5" i="14"/>
  <c r="I5" i="14"/>
  <c r="I98" i="13"/>
  <c r="I108" i="13" s="1"/>
  <c r="M20" i="13"/>
  <c r="M34" i="13"/>
  <c r="H34" i="13"/>
  <c r="I34" i="13"/>
  <c r="J34" i="13"/>
  <c r="H13" i="14"/>
  <c r="H108" i="13"/>
  <c r="J108" i="13"/>
  <c r="M108" i="13"/>
  <c r="K110" i="13" l="1"/>
  <c r="G12" i="14"/>
  <c r="L110" i="13"/>
  <c r="J110" i="13"/>
  <c r="I110" i="13"/>
  <c r="H110" i="13"/>
  <c r="M110" i="13"/>
  <c r="M8" i="12" l="1"/>
  <c r="M10" i="12"/>
  <c r="M11" i="12"/>
  <c r="E12" i="12"/>
  <c r="K12" i="12"/>
  <c r="L12" i="12"/>
  <c r="M12" i="12"/>
  <c r="M18" i="12"/>
  <c r="E24" i="12"/>
  <c r="H24" i="12"/>
  <c r="I24" i="12"/>
  <c r="J24" i="12"/>
  <c r="L26" i="12"/>
  <c r="M24" i="12"/>
  <c r="E26" i="12"/>
  <c r="H26" i="12"/>
  <c r="I26" i="12"/>
  <c r="J26" i="12"/>
  <c r="K26" i="12"/>
  <c r="M26" i="12"/>
  <c r="E11" i="11" l="1"/>
  <c r="E14" i="11"/>
  <c r="E15" i="11"/>
  <c r="I15" i="11"/>
  <c r="J15" i="11"/>
  <c r="M15" i="11"/>
  <c r="E17" i="11"/>
  <c r="I17" i="11"/>
  <c r="J17" i="11"/>
  <c r="K17" i="11"/>
  <c r="L17" i="11"/>
  <c r="M17" i="11"/>
  <c r="J34" i="10"/>
  <c r="H34" i="10"/>
  <c r="E34" i="10"/>
  <c r="C34" i="10"/>
  <c r="L27" i="10"/>
  <c r="M27" i="10" s="1"/>
  <c r="M25" i="10"/>
  <c r="K22" i="10"/>
  <c r="I22" i="10"/>
  <c r="I34" i="10" s="1"/>
  <c r="M19" i="10"/>
  <c r="J14" i="10"/>
  <c r="J36" i="10" s="1"/>
  <c r="H14" i="10"/>
  <c r="H36" i="10" s="1"/>
  <c r="E14" i="10"/>
  <c r="E36" i="10" s="1"/>
  <c r="C14" i="10"/>
  <c r="C36" i="10" s="1"/>
  <c r="M13" i="10"/>
  <c r="M11" i="10"/>
  <c r="M8" i="10"/>
  <c r="M6" i="10"/>
  <c r="M14" i="10" s="1"/>
  <c r="L5" i="10"/>
  <c r="K5" i="10"/>
  <c r="I5" i="10"/>
  <c r="I14" i="10" s="1"/>
  <c r="I36" i="10" s="1"/>
  <c r="K36" i="10" l="1"/>
  <c r="L22" i="10"/>
  <c r="M22" i="10" l="1"/>
  <c r="M34" i="10" s="1"/>
  <c r="M36" i="10" s="1"/>
  <c r="I7" i="14" l="1"/>
  <c r="J7" i="14"/>
  <c r="L36" i="10"/>
  <c r="H9" i="14"/>
  <c r="L5" i="9"/>
  <c r="M5" i="9"/>
  <c r="M7" i="9"/>
  <c r="N7" i="9"/>
  <c r="E9" i="9"/>
  <c r="H9" i="9"/>
  <c r="I9" i="9"/>
  <c r="J9" i="9"/>
  <c r="M9" i="9"/>
  <c r="L14" i="9"/>
  <c r="M14" i="9"/>
  <c r="M15" i="9"/>
  <c r="L17" i="9"/>
  <c r="M17" i="9"/>
  <c r="M20" i="9"/>
  <c r="K26" i="9"/>
  <c r="L26" i="9"/>
  <c r="M26" i="9"/>
  <c r="L27" i="9"/>
  <c r="M27" i="9"/>
  <c r="L31" i="9"/>
  <c r="M31" i="9"/>
  <c r="E37" i="9"/>
  <c r="H37" i="9"/>
  <c r="I37" i="9"/>
  <c r="J37" i="9"/>
  <c r="M37" i="9"/>
  <c r="E39" i="9"/>
  <c r="I39" i="9"/>
  <c r="J39" i="9"/>
  <c r="K39" i="9"/>
  <c r="L39" i="9"/>
  <c r="M39" i="9"/>
  <c r="M17" i="8" l="1"/>
  <c r="L17" i="8"/>
  <c r="J17" i="8"/>
  <c r="H17" i="8"/>
  <c r="E17" i="8"/>
  <c r="C17" i="8"/>
  <c r="M7" i="8"/>
  <c r="M19" i="8" s="1"/>
  <c r="L7" i="8"/>
  <c r="L19" i="8" s="1"/>
  <c r="K7" i="8"/>
  <c r="K19" i="8" s="1"/>
  <c r="J7" i="8"/>
  <c r="J19" i="8" s="1"/>
  <c r="H7" i="8"/>
  <c r="H19" i="8" s="1"/>
  <c r="C7" i="8"/>
  <c r="C19" i="8" s="1"/>
  <c r="E5" i="8"/>
  <c r="E7" i="8" s="1"/>
  <c r="E19" i="8" s="1"/>
  <c r="D20" i="7" l="1"/>
  <c r="J18" i="7"/>
  <c r="I18" i="7"/>
  <c r="H18" i="7"/>
  <c r="E18" i="7"/>
  <c r="M17" i="7"/>
  <c r="M18" i="7" s="1"/>
  <c r="J11" i="7"/>
  <c r="J20" i="7" s="1"/>
  <c r="H11" i="7"/>
  <c r="H20" i="7" s="1"/>
  <c r="E11" i="7"/>
  <c r="E20" i="7" s="1"/>
  <c r="I8" i="7"/>
  <c r="M7" i="7"/>
  <c r="L7" i="7"/>
  <c r="K7" i="7"/>
  <c r="I7" i="7"/>
  <c r="M6" i="7"/>
  <c r="M11" i="7" s="1"/>
  <c r="M20" i="7" s="1"/>
  <c r="L6" i="7"/>
  <c r="K6" i="7"/>
  <c r="K20" i="7" s="1"/>
  <c r="I6" i="7"/>
  <c r="I5" i="7"/>
  <c r="I11" i="7" s="1"/>
  <c r="I20" i="7" s="1"/>
  <c r="J14" i="6" l="1"/>
  <c r="I14" i="6"/>
  <c r="H14" i="6"/>
  <c r="E14" i="6"/>
  <c r="C14" i="6"/>
  <c r="M12" i="6"/>
  <c r="M10" i="6"/>
  <c r="M14" i="6" s="1"/>
  <c r="J7" i="6"/>
  <c r="J16" i="6" s="1"/>
  <c r="H7" i="6"/>
  <c r="H16" i="6" s="1"/>
  <c r="E7" i="6"/>
  <c r="E16" i="6" s="1"/>
  <c r="C7" i="6"/>
  <c r="C16" i="6" s="1"/>
  <c r="M6" i="6"/>
  <c r="M5" i="6"/>
  <c r="M7" i="6" s="1"/>
  <c r="M16" i="6" s="1"/>
  <c r="L5" i="6"/>
  <c r="L16" i="6" s="1"/>
  <c r="K5" i="6"/>
  <c r="K7" i="6" s="1"/>
  <c r="K16" i="6" s="1"/>
  <c r="I5" i="6"/>
  <c r="I7" i="6" s="1"/>
  <c r="I16" i="6" s="1"/>
  <c r="K5" i="5" l="1"/>
  <c r="L5" i="5"/>
  <c r="E7" i="5"/>
  <c r="H7" i="5"/>
  <c r="I7" i="5"/>
  <c r="J7" i="5"/>
  <c r="E24" i="5"/>
  <c r="H24" i="5"/>
  <c r="I24" i="5"/>
  <c r="J24" i="5"/>
  <c r="E26" i="5"/>
  <c r="H26" i="5"/>
  <c r="I26" i="5"/>
  <c r="J26" i="5"/>
  <c r="K26" i="5"/>
  <c r="L26" i="5"/>
  <c r="D39" i="4" l="1"/>
  <c r="C39" i="4"/>
  <c r="M37" i="4"/>
  <c r="J37" i="4"/>
  <c r="H37" i="4"/>
  <c r="E37" i="4"/>
  <c r="K35" i="4"/>
  <c r="K30" i="4"/>
  <c r="I30" i="4"/>
  <c r="I27" i="4"/>
  <c r="I37" i="4" s="1"/>
  <c r="M11" i="4"/>
  <c r="M39" i="4" s="1"/>
  <c r="L39" i="4"/>
  <c r="J11" i="4"/>
  <c r="J39" i="4" s="1"/>
  <c r="H11" i="4"/>
  <c r="H39" i="4" s="1"/>
  <c r="E11" i="4"/>
  <c r="E39" i="4" s="1"/>
  <c r="K10" i="4"/>
  <c r="I10" i="4"/>
  <c r="K8" i="4"/>
  <c r="K7" i="4"/>
  <c r="I7" i="4"/>
  <c r="K5" i="4"/>
  <c r="K39" i="4" s="1"/>
  <c r="I5" i="4"/>
  <c r="I11" i="4" s="1"/>
  <c r="I39" i="4" s="1"/>
  <c r="M17" i="3" l="1"/>
  <c r="M19" i="3" s="1"/>
  <c r="L19" i="3"/>
  <c r="K19" i="3"/>
  <c r="J17" i="3"/>
  <c r="J19" i="3" s="1"/>
  <c r="I17" i="3"/>
  <c r="I19" i="3" s="1"/>
  <c r="H17" i="3"/>
  <c r="H19" i="3" s="1"/>
  <c r="E10" i="3"/>
  <c r="E17" i="3" s="1"/>
  <c r="E19" i="3" s="1"/>
  <c r="D8" i="3"/>
  <c r="D17" i="3" s="1"/>
  <c r="D19" i="3" s="1"/>
  <c r="M26" i="2" l="1"/>
  <c r="J26" i="2"/>
  <c r="I26" i="2"/>
  <c r="H26" i="2"/>
  <c r="E26" i="2"/>
  <c r="E28" i="2" s="1"/>
  <c r="M7" i="2"/>
  <c r="M28" i="2" s="1"/>
  <c r="L7" i="2"/>
  <c r="L28" i="2" s="1"/>
  <c r="K7" i="2"/>
  <c r="K28" i="2" s="1"/>
  <c r="J7" i="2"/>
  <c r="J28" i="2" s="1"/>
  <c r="I7" i="2"/>
  <c r="I28" i="2" s="1"/>
  <c r="H7" i="2"/>
  <c r="H28" i="2" s="1"/>
</calcChain>
</file>

<file path=xl/sharedStrings.xml><?xml version="1.0" encoding="utf-8"?>
<sst xmlns="http://schemas.openxmlformats.org/spreadsheetml/2006/main" count="1127" uniqueCount="645">
  <si>
    <t>Dept 202 Advocacy Fund</t>
  </si>
  <si>
    <t>ACCOUNT</t>
  </si>
  <si>
    <t>2023 Year End</t>
  </si>
  <si>
    <t>2025 Notes</t>
  </si>
  <si>
    <t>2026 Notes</t>
  </si>
  <si>
    <t>NUMBER</t>
  </si>
  <si>
    <t>DESCRIPTION</t>
  </si>
  <si>
    <t>Budget</t>
  </si>
  <si>
    <t>Actuals</t>
  </si>
  <si>
    <t>BUDGET</t>
  </si>
  <si>
    <t>ACTUAL</t>
  </si>
  <si>
    <t>YTD</t>
  </si>
  <si>
    <t>REVENUES</t>
  </si>
  <si>
    <t>3800</t>
  </si>
  <si>
    <t>Contributions Personal</t>
  </si>
  <si>
    <t>3900</t>
  </si>
  <si>
    <t>1/3 Rule Silent Auction &amp; Fund</t>
  </si>
  <si>
    <t>TOTAL REVENUES</t>
  </si>
  <si>
    <t>EXPENSES</t>
  </si>
  <si>
    <t>5210</t>
  </si>
  <si>
    <t xml:space="preserve">Postage </t>
  </si>
  <si>
    <t>PAC and advocacy related postage</t>
  </si>
  <si>
    <t>5225</t>
  </si>
  <si>
    <t>Printing</t>
  </si>
  <si>
    <t>PAC and advocacy related printing/signage and educational materials</t>
  </si>
  <si>
    <t>5270</t>
  </si>
  <si>
    <t>Miscellaneous</t>
  </si>
  <si>
    <t>Other advocacy-related expenses that occur during the year, as approved per guidelines</t>
  </si>
  <si>
    <t>Travel</t>
  </si>
  <si>
    <t>Travel to state DOTH events - 4 per year, rotating over a 2-year cycle.</t>
  </si>
  <si>
    <t>In Dept 199</t>
  </si>
  <si>
    <t>5296</t>
  </si>
  <si>
    <t>Advocacy Chapter Grants</t>
  </si>
  <si>
    <t xml:space="preserve">Chapter grants, as approved per guidelines. If the revenue share program is approved, the Board may choose to delete this line item as the revenue share would be fulfilling the purpose of chapter grants. Estimated - This is contingent on the Board approving the NAF revenue sharing policy being proposed by the PAC Trustees. This would be a split with the chapter of what they raise for NAF. If this policy is not implemented, then this line item would not be needed. </t>
  </si>
  <si>
    <t xml:space="preserve">Chapter grants, above and beyond revenue sharing, as approved per guidelines. </t>
  </si>
  <si>
    <t>Revenue Sharing</t>
  </si>
  <si>
    <t>Based on the actual amount of eligible funds, per policy</t>
  </si>
  <si>
    <t>5450</t>
  </si>
  <si>
    <t>PAC Expenses &amp; OMG Mgmt Fees</t>
  </si>
  <si>
    <t>Legal and OMG billable hours as needed, as approved by PAC Trustees</t>
  </si>
  <si>
    <t>5451</t>
  </si>
  <si>
    <t>PAC/NAF Expenses</t>
  </si>
  <si>
    <t>Major Investor incentives, PAC/NAF silent auction items, PAC/NAF collateral and swag etc, as approved by PAC Trustees</t>
  </si>
  <si>
    <t>Major Investor incentives, PAC/NAF silent auction items, PAC/NAF collateral and swag etc.</t>
  </si>
  <si>
    <t>PAC Trustee Training, Development and Travel</t>
  </si>
  <si>
    <t>Travel at up to $1,000/event for 10 events for Trustees to represent PAC</t>
  </si>
  <si>
    <t>As needed for traning collateral</t>
  </si>
  <si>
    <t>5455</t>
  </si>
  <si>
    <t>Legislative -Liaison Activities</t>
  </si>
  <si>
    <t>5456</t>
  </si>
  <si>
    <t>Federal Advocacy</t>
  </si>
  <si>
    <t>Direct federal advocacy (ads, collateral, research, etc), subscriptions</t>
  </si>
  <si>
    <t>5460</t>
  </si>
  <si>
    <t>Dues and Coalition Support</t>
  </si>
  <si>
    <t>Up for Growth, additional as approved per guidelines</t>
  </si>
  <si>
    <t>5505</t>
  </si>
  <si>
    <t>Legal</t>
  </si>
  <si>
    <t>Moved to 202-5451</t>
  </si>
  <si>
    <t>5851</t>
  </si>
  <si>
    <t>Admin Expenses</t>
  </si>
  <si>
    <t>Stripe fees for NARPM PAC investments, estimated</t>
  </si>
  <si>
    <t>Bank fees for NARPM PAC investments, estimated</t>
  </si>
  <si>
    <t>Consultant Fee</t>
  </si>
  <si>
    <t>EPA Consultant</t>
  </si>
  <si>
    <t>TOTAL EXPENSES</t>
  </si>
  <si>
    <t>OPERATING PROFIT/LOSS</t>
  </si>
  <si>
    <t>Dept 199 Governmental Affairs</t>
  </si>
  <si>
    <t>5153</t>
  </si>
  <si>
    <t>Governmental Affairs Meeting</t>
  </si>
  <si>
    <t>5240</t>
  </si>
  <si>
    <t>Management Fee</t>
  </si>
  <si>
    <t>Base fee is 203,483.97. This adds the following: 46,000 for increased admin support for state legislative tracking and DOTH, 6,500 for staff attendance at state DOTH events (4 per year, rotating over 2 year cycle) and 20,000 for senior staff support for state legislative advocacy.</t>
  </si>
  <si>
    <t>Per proposed management agreement.</t>
  </si>
  <si>
    <t>5280</t>
  </si>
  <si>
    <t>$7,000 (train, VRE, parking), $5,500 (Metro/Taxi/Uber), $2,370 (Mileage to DC if no train)</t>
  </si>
  <si>
    <t>In-town travel in and to DC (Parking at office, Uber, Metro, Train, tolls, etc); Out-of-town travel to state and local chapter events and state conferences to support state and local advocacy and NARPM PAC.</t>
  </si>
  <si>
    <t>5350</t>
  </si>
  <si>
    <t>Marketing</t>
  </si>
  <si>
    <t>Advocacy education for NARPM members and chapters and PAC Trustee training.</t>
  </si>
  <si>
    <t>Purpose – These funds would be used in late 2026 to send a hard mailer to every state and federal legislator (~8,000 individuals) in the nation that explains/reminds them who NARPM is and how to get in touch with NARPM GA. 
Discussion – This investment is consistent with Strategic Plan Priority 1, “Speak Boldly. Lead Publicly. Elevate NARPM's visibility and voice with the general public, and in key policy and media conversations.”
The timing is such that this mailer would be sent after the 2026 election (geared toward those who will be in office in 2027) and after we have completed our rebranding.
Focusing on Strategic Plan Priority Initiative 1.C. Strategic Public Positioning, inclusion of this marketing item and approval of our strategic budget request will contribute elevate NARPM’s reputation as proactive with our legislative efforts better known for the bills that we are supporting.</t>
  </si>
  <si>
    <t>Moved to NAF</t>
  </si>
  <si>
    <t>Chair travel to convention &amp; Broker Owner</t>
  </si>
  <si>
    <t>5481</t>
  </si>
  <si>
    <t>Existing Technology Contracts</t>
  </si>
  <si>
    <t>Quorum</t>
  </si>
  <si>
    <t>Tracking (Quorum) and PAC (Aristotle or Quorum) Software.</t>
  </si>
  <si>
    <t>5500</t>
  </si>
  <si>
    <t>DC Rent</t>
  </si>
  <si>
    <t>Actual cost. DC office rent.</t>
  </si>
  <si>
    <t>Dept 198  Broker Owner Conference &amp; Expo</t>
  </si>
  <si>
    <t>Notes from 2025</t>
  </si>
  <si>
    <t>Notes for 2026</t>
  </si>
  <si>
    <t>2025 Aug</t>
  </si>
  <si>
    <t>3146</t>
  </si>
  <si>
    <t>Official Partner</t>
  </si>
  <si>
    <t xml:space="preserve">13 Partners @3000 </t>
  </si>
  <si>
    <t>17 Partners @3,575.00 (partner agreement value) - this does not include the premier partnership</t>
  </si>
  <si>
    <t>3400</t>
  </si>
  <si>
    <t xml:space="preserve">Advertising </t>
  </si>
  <si>
    <t>3700</t>
  </si>
  <si>
    <t>Registrations</t>
  </si>
  <si>
    <t>600 attendees @ $790 (560 in 2023)</t>
  </si>
  <si>
    <t xml:space="preserve">700 attendees @ $830 (710 in 2025) - this reflects a 5% increase (proposed by committee chair) to reflect the increase in value. </t>
  </si>
  <si>
    <t>Cunningham session</t>
  </si>
  <si>
    <t>150 registrants at $250</t>
  </si>
  <si>
    <t>3710</t>
  </si>
  <si>
    <t>Sponsorships</t>
  </si>
  <si>
    <t>Other sponsorships (no coffee break or wifi sponsor)</t>
  </si>
  <si>
    <t xml:space="preserve">Aiming for 100,000 - 150,000 </t>
  </si>
  <si>
    <t>3760</t>
  </si>
  <si>
    <t>Exhibit Booths</t>
  </si>
  <si>
    <t>100 booths for sale with 2 meal tickets</t>
  </si>
  <si>
    <t xml:space="preserve">I recommend an increase in booth prices as well - not reflected here. </t>
  </si>
  <si>
    <t>5211</t>
  </si>
  <si>
    <t>Shipping</t>
  </si>
  <si>
    <t xml:space="preserve">Expecting an increase in shipping costs. </t>
  </si>
  <si>
    <t>5220</t>
  </si>
  <si>
    <t>Supplies</t>
  </si>
  <si>
    <t xml:space="preserve">Registration Bags </t>
  </si>
  <si>
    <t>Room drop gift idea - from NARPM</t>
  </si>
  <si>
    <t>5230</t>
  </si>
  <si>
    <t>Insurance</t>
  </si>
  <si>
    <t>gamification prizes (New from committee)</t>
  </si>
  <si>
    <t>7 staff travel</t>
  </si>
  <si>
    <t xml:space="preserve">7 staff travel - expecting travel expenses to rise. </t>
  </si>
  <si>
    <t>5300</t>
  </si>
  <si>
    <t>Audio/Visual Rental</t>
  </si>
  <si>
    <t xml:space="preserve">Possibly need to put out RFPs for this - will know more after convention. </t>
  </si>
  <si>
    <t>5305</t>
  </si>
  <si>
    <t>Convention Video Taping Exp</t>
  </si>
  <si>
    <t>Will get quote from Everessi</t>
  </si>
  <si>
    <t>5316</t>
  </si>
  <si>
    <t>Temporary Service</t>
  </si>
  <si>
    <t>3rd party hotel contractor</t>
  </si>
  <si>
    <t>5323</t>
  </si>
  <si>
    <t>Signage</t>
  </si>
  <si>
    <t xml:space="preserve">More &amp; better signage, banners, etc. </t>
  </si>
  <si>
    <t>5328</t>
  </si>
  <si>
    <t>Exhibit Expenses</t>
  </si>
  <si>
    <t>5335</t>
  </si>
  <si>
    <t>Food and Beverage</t>
  </si>
  <si>
    <t xml:space="preserve">Minimum is 275,000 + 26% service fee + 10.75% sales tax. </t>
  </si>
  <si>
    <t>In Marketing Budget</t>
  </si>
  <si>
    <t xml:space="preserve"> I addition to the marketing budget. Committee looking to do more in terms of marketing. </t>
  </si>
  <si>
    <t>5370</t>
  </si>
  <si>
    <t>Facility Charge</t>
  </si>
  <si>
    <t>Room Rental Fee</t>
  </si>
  <si>
    <t>5380</t>
  </si>
  <si>
    <t>Speaker/Instructors Fee</t>
  </si>
  <si>
    <t>3@$7500; 18@$1500; outside $31000 Marc Cunningham $15000</t>
  </si>
  <si>
    <t xml:space="preserve">Committee is looking at high-profile speakers. They are going to have some sessions sponsored. </t>
  </si>
  <si>
    <t>5381</t>
  </si>
  <si>
    <t>Speaker/Instructor Expenses</t>
  </si>
  <si>
    <t>Outside Speakers Travel Expenses</t>
  </si>
  <si>
    <t xml:space="preserve">Increasing - high profile speakers have more expensive travel requirements </t>
  </si>
  <si>
    <t>5510</t>
  </si>
  <si>
    <t>Advertising Sales Commission</t>
  </si>
  <si>
    <t>additional charge (or increase) in registration. Committee working to get 50,000 in sponsorships for this + coordinating with Partners. Request from committee.</t>
  </si>
  <si>
    <t xml:space="preserve">Request from committee. </t>
  </si>
  <si>
    <t>CVENT - Broker Owner</t>
  </si>
  <si>
    <t>Wi-Fi</t>
  </si>
  <si>
    <t>Food     $1,500</t>
  </si>
  <si>
    <t>Travel   $1,000 – staff train</t>
  </si>
  <si>
    <t>Rooms  $6,000</t>
  </si>
  <si>
    <t>5 staff; 3 chairs</t>
  </si>
  <si>
    <t>2024 Travel Details:</t>
  </si>
  <si>
    <t>Speaker Travel</t>
  </si>
  <si>
    <t>Speaker</t>
  </si>
  <si>
    <t xml:space="preserve">Hotel FEDEX holding charges </t>
  </si>
  <si>
    <t>Minimum is 60,000 + 18% house service charge +8% staff service + 10% sales tax</t>
  </si>
  <si>
    <t>Estimate is 6,000 + 26% AV charge + 10% sales tax</t>
  </si>
  <si>
    <t>Attrition Fee</t>
  </si>
  <si>
    <t>Registration Bag</t>
  </si>
  <si>
    <t>5221</t>
  </si>
  <si>
    <t xml:space="preserve">Shipping cost </t>
  </si>
  <si>
    <t xml:space="preserve">25 exhibitor booths at $2,000 each. </t>
  </si>
  <si>
    <t>(35 - partners; 10 - other sponsorships)</t>
  </si>
  <si>
    <t>$475 @ 125</t>
  </si>
  <si>
    <t>2025 AUG</t>
  </si>
  <si>
    <t>Dept 195  Capitol Summit</t>
  </si>
  <si>
    <t>Dept 192  RESIDENTIAL RESOURCE</t>
  </si>
  <si>
    <t xml:space="preserve">estimated 12 partners at $5,000 per partner </t>
  </si>
  <si>
    <t>17 partners @$5000</t>
  </si>
  <si>
    <t>3401</t>
  </si>
  <si>
    <t>Newsletter Advertising</t>
  </si>
  <si>
    <t>Work on marketing to vendors</t>
  </si>
  <si>
    <t>Work building advertisers</t>
  </si>
  <si>
    <t>5212</t>
  </si>
  <si>
    <t>Newsletter Postage</t>
  </si>
  <si>
    <t>Increase postage cost</t>
  </si>
  <si>
    <t>5345</t>
  </si>
  <si>
    <t>Newsletter Production/Printing</t>
  </si>
  <si>
    <t>Paper costs have increased since mid-year due to inflation</t>
  </si>
  <si>
    <t>inc by inflation</t>
  </si>
  <si>
    <t>5371</t>
  </si>
  <si>
    <t>Marketing Projects</t>
  </si>
  <si>
    <t>Dept 190  DESIGNATIONS</t>
  </si>
  <si>
    <t>2027 Notes</t>
  </si>
  <si>
    <t>3311</t>
  </si>
  <si>
    <t>CSS Certification Fee</t>
  </si>
  <si>
    <t>3312</t>
  </si>
  <si>
    <t>RMP Designationn Fees</t>
  </si>
  <si>
    <t>Total Active Members with the RMP designation is 459, with 71 new projected RMP candidates for 2026</t>
  </si>
  <si>
    <t>75 new projected RMP candidates for 2027</t>
  </si>
  <si>
    <t>3314</t>
  </si>
  <si>
    <t>MPM Designation Fees</t>
  </si>
  <si>
    <t>Total Active Members with the MPM designation is 201, with 15 new projected MPM candidates for 2026</t>
  </si>
  <si>
    <t>17 new projected MPM candidates for 2027</t>
  </si>
  <si>
    <t>3316</t>
  </si>
  <si>
    <t>CRMC Designation Fee</t>
  </si>
  <si>
    <t>Total Active Members with the CRMC designation is 41 , with 2 new projected CRMC candidates for 2026</t>
  </si>
  <si>
    <t>4 new projected CRMC candidates for 2027</t>
  </si>
  <si>
    <t>3317</t>
  </si>
  <si>
    <t>CRMC Renewal Fee</t>
  </si>
  <si>
    <t>41 CRMC</t>
  </si>
  <si>
    <t>3270</t>
  </si>
  <si>
    <t>Designation Miscellaneous Sales</t>
  </si>
  <si>
    <t>5005</t>
  </si>
  <si>
    <t>Awards &amp; Recognition</t>
  </si>
  <si>
    <t>Plaques and certificates for designees</t>
  </si>
  <si>
    <t>Postage for plaques</t>
  </si>
  <si>
    <t>Printing designation materials</t>
  </si>
  <si>
    <t>Rebuild designation portal/ In future will be $7000 a year</t>
  </si>
  <si>
    <t>Maintenance Designation Portal through SALT and updates</t>
  </si>
  <si>
    <t>Dept 189  Women's Council</t>
  </si>
  <si>
    <t>Women's Council</t>
  </si>
  <si>
    <t>is Sunsetted</t>
  </si>
  <si>
    <t>conference (increased in case of virtual conf; will not spend if in-person)</t>
  </si>
  <si>
    <t>conference</t>
  </si>
  <si>
    <t>speakers for webinars and conference</t>
  </si>
  <si>
    <t xml:space="preserve">Council will ensure if Women's Conference is not held, Council's budgeted profit will be achieved. </t>
  </si>
  <si>
    <t>Legal/Liability Education as an Outside Counsel for National NARPM - Chapter Visits</t>
  </si>
  <si>
    <t>Legal/Liability Education as an Outside Counsel for National NARPM</t>
  </si>
  <si>
    <t xml:space="preserve">To keep the document current, NARPM staff anticipates requesting the $1,000 flat fee update. </t>
  </si>
  <si>
    <t>NARPM Best Practices Relating to Liability and Risk Management</t>
  </si>
  <si>
    <t>The flat fee will depend on year one volume.</t>
  </si>
  <si>
    <t xml:space="preserve">Legal Hotline </t>
  </si>
  <si>
    <t>Logo update- Course Materials</t>
  </si>
  <si>
    <t>Cosponsorship Expense</t>
  </si>
  <si>
    <t>5390</t>
  </si>
  <si>
    <t>Scholarship</t>
  </si>
  <si>
    <t>Incudes cost of third-party trainer and DL participation 8,500. It does not include the NARPM Instructor Expenses.</t>
  </si>
  <si>
    <t>Instructor Training</t>
  </si>
  <si>
    <t>5383</t>
  </si>
  <si>
    <t>6 instructors to teach classes at NARPM events</t>
  </si>
  <si>
    <t>$405 for 3 hr course/$1050 onsite</t>
  </si>
  <si>
    <t>marketing for members who hold designations to push out to PM's</t>
  </si>
  <si>
    <t>Course Rewrite fee</t>
  </si>
  <si>
    <t xml:space="preserve">Included in this line item are 4 new content-based courses at a cost of $20,000 (4  X $5,000). Also, these 4 courses are taught by NARPM and recorded. From those recordings, DL will make edits where necessary and place them in the online learning system. DL's price is $9,600 (4 x $2,400). </t>
  </si>
  <si>
    <t>This line item includes 8 3-hour courses dervied from existing 6-hour course content and/or materials. The total cost will be $24,000 (8 x $3,000). The 8 courses that are redeveloped are taught by NARPM and recorded. From those recordings, DL will make edits where necessary and place them in the online learning system. DL's price is $19,200 (8 x $2,400). Also, included in this line item are 2 new content-based courses at a cost of $10,000 (2 X $5,000).</t>
  </si>
  <si>
    <t>Education - Course Development: In-person, Virtual or Online</t>
  </si>
  <si>
    <t>5312</t>
  </si>
  <si>
    <t>Gift Certificates Redeemed</t>
  </si>
  <si>
    <t>5286</t>
  </si>
  <si>
    <t>Ethics  Instructor Fees</t>
  </si>
  <si>
    <t>5376</t>
  </si>
  <si>
    <t>New member ethics course and support staff taking course</t>
  </si>
  <si>
    <t>Ethics  Expenses</t>
  </si>
  <si>
    <t>5276</t>
  </si>
  <si>
    <t>Staff has only had two chapter sponsored classes and both lost money to the chapter</t>
  </si>
  <si>
    <t>Expenses associated with on site classroom courses</t>
  </si>
  <si>
    <t>Course Expenses</t>
  </si>
  <si>
    <t>5273</t>
  </si>
  <si>
    <t>Prof Dev Committee</t>
  </si>
  <si>
    <t>5150</t>
  </si>
  <si>
    <t>*This line item is now included in Education - Course Development: In-person, Virtual or Online to provide a more comprehnsive overview of proposed expenses. Please see the line item below.</t>
  </si>
  <si>
    <t>On-line Education</t>
  </si>
  <si>
    <t>5145</t>
  </si>
  <si>
    <t>Webinars</t>
  </si>
  <si>
    <t>3315</t>
  </si>
  <si>
    <t>3% increase</t>
  </si>
  <si>
    <t>On-Line Course Fees</t>
  </si>
  <si>
    <t>3310</t>
  </si>
  <si>
    <t>Ethics Class</t>
  </si>
  <si>
    <t>3302</t>
  </si>
  <si>
    <t xml:space="preserve"> 2027 increase reg fee for class to $45 member/$60 nonmember</t>
  </si>
  <si>
    <t>64 classes - 15 avg # students = 960 (192 non; 768 mem) - 2026 increase reg fee for class to $40 member/$55 nonmember</t>
  </si>
  <si>
    <t>56 classes - 18 avg # students/Finance 25 students</t>
  </si>
  <si>
    <t>Course Fees</t>
  </si>
  <si>
    <t>3300</t>
  </si>
  <si>
    <t>Actual</t>
  </si>
  <si>
    <t>Dept 188  PROFESSIONAL DEVELOPMENT COURSES</t>
  </si>
  <si>
    <t>Dept 186  Marketing</t>
  </si>
  <si>
    <t>13 partners @ $500.00</t>
  </si>
  <si>
    <t>17 partners @500</t>
  </si>
  <si>
    <t>3202</t>
  </si>
  <si>
    <t>List Sales</t>
  </si>
  <si>
    <t>Purchase electronic member list</t>
  </si>
  <si>
    <t>Inc by inflation</t>
  </si>
  <si>
    <t>3204</t>
  </si>
  <si>
    <t>Consumer Brochures</t>
  </si>
  <si>
    <t>Brochures that are for sale</t>
  </si>
  <si>
    <t>3206</t>
  </si>
  <si>
    <t>Specialty Advertising Items</t>
  </si>
  <si>
    <t>Give away items for convention</t>
  </si>
  <si>
    <t>3222</t>
  </si>
  <si>
    <t>Codes/Standards Kits</t>
  </si>
  <si>
    <t>3224</t>
  </si>
  <si>
    <t>NARPM Replacement Pins</t>
  </si>
  <si>
    <t>3227</t>
  </si>
  <si>
    <t>Outside Marketing Projects</t>
  </si>
  <si>
    <t>Multiview</t>
  </si>
  <si>
    <t>Pulled number from multiview reports</t>
  </si>
  <si>
    <t>3228</t>
  </si>
  <si>
    <t>Radio Sponsorship</t>
  </si>
  <si>
    <t xml:space="preserve">Radio sponsorships are down </t>
  </si>
  <si>
    <t>Marketing Committee</t>
  </si>
  <si>
    <t>Travel for committee chair to Conv &amp; B/O</t>
  </si>
  <si>
    <t>5152</t>
  </si>
  <si>
    <t>Publication Committee</t>
  </si>
  <si>
    <t>Mailing marketing package to chapters</t>
  </si>
  <si>
    <t>5226</t>
  </si>
  <si>
    <t>Consumer Printing</t>
  </si>
  <si>
    <t>3% annual increase</t>
  </si>
  <si>
    <t>Should be under 186-5368</t>
  </si>
  <si>
    <t>5365</t>
  </si>
  <si>
    <t>5368</t>
  </si>
  <si>
    <t>Video/Social Media Marketing</t>
  </si>
  <si>
    <t>Social media marketing and boosting; 1$500 video editing</t>
  </si>
  <si>
    <t>For Feathr 21,000 for 2024 half of 2-year contract; also, $9,500 to $12,500 extra needed in 2024 for designation follow-me campaign and associated media spends</t>
  </si>
  <si>
    <t>Waiting in proposal from Scott Oser to provide follow me service in place of current vendor</t>
  </si>
  <si>
    <t>Mailchimp, Survey Monkey, Zoom, Higher Logic Commmunity Platform</t>
  </si>
  <si>
    <t>Survey Monkey, Zoom, Doing cuirrent search for vendors to replace the community</t>
  </si>
  <si>
    <t>National brand campaign - Agency of record</t>
  </si>
  <si>
    <t>Agency of record communications support: content production; social media and email content; email program management; asset design (signage, collateral); national campaign management (message development, creative, ad ops, measurement). This assumes a certain degree of work-sharing with NARPM staff (specifically , marketing director, designer, webmaster, executive director, etc.)</t>
  </si>
  <si>
    <t>National brand campaign - Website project</t>
  </si>
  <si>
    <t>Website project: redesign and rebuild website, collaborative approach to content refresh.</t>
  </si>
  <si>
    <t>National brand campaign - Paid media budget</t>
  </si>
  <si>
    <t>Paid media budget (out-of-pocket expense, not services) for national campaign focused on membership growth, brand positioning and advocacy.</t>
  </si>
  <si>
    <t>National brand campaign - PR/news media relations</t>
  </si>
  <si>
    <t>Special Marketing Projects-AS</t>
  </si>
  <si>
    <t>Hire outside marketing company for national growth campaign</t>
  </si>
  <si>
    <t>Waiting to see ROI on current campaign</t>
  </si>
  <si>
    <t>Annual training, Nuts &amp; Bolts, webinars</t>
  </si>
  <si>
    <t xml:space="preserve">Food &amp; Beverage are not needed at Convention training any longer. </t>
  </si>
  <si>
    <t>Training at Convention</t>
  </si>
  <si>
    <t>absorbed by Convention</t>
  </si>
  <si>
    <t xml:space="preserve">40 Chapter Presidents @ $1,750 each to attend Convention (includes early registration fee of $790 and up to 3 nights hotel stay.) Based on $1,666 per person for the 2025 Convention in Orlando, FL. </t>
  </si>
  <si>
    <t>Leadership Grant</t>
  </si>
  <si>
    <t>5298</t>
  </si>
  <si>
    <t>special projects that arise in 2025</t>
  </si>
  <si>
    <t>Special projects</t>
  </si>
  <si>
    <t>5485</t>
  </si>
  <si>
    <t>quarterly meetings. If speakers should charge</t>
  </si>
  <si>
    <t>At Large Chapter Operations</t>
  </si>
  <si>
    <t>5483</t>
  </si>
  <si>
    <t>Pull up banners for chapters</t>
  </si>
  <si>
    <t>Trade Show Booth Purchase</t>
  </si>
  <si>
    <t>5367</t>
  </si>
  <si>
    <t>NARPM participate in 3 vendor events/trade shows to market NARPM - PE. Treas. And Staff</t>
  </si>
  <si>
    <t>Trade Shows</t>
  </si>
  <si>
    <t>5366</t>
  </si>
  <si>
    <t xml:space="preserve">3852 members as of March 10, 2025 under Chapters that are eligible to receive incentives (State Chapters are not eligible to receive incentives.) @ $10 each with 100% renewal. Chapters must achieve 90% or higher retention to be eligible and will receive income for new and renewed members. </t>
  </si>
  <si>
    <t>Chapter Incentives</t>
  </si>
  <si>
    <t>5362</t>
  </si>
  <si>
    <t>Moved to chapter leader training</t>
  </si>
  <si>
    <t>10 Chapter Trade Show Grants @ $750 each</t>
  </si>
  <si>
    <t>Chapter Trade Show Grant amount reduced to $750 from $1,000.</t>
  </si>
  <si>
    <t>Trade Show Grants</t>
  </si>
  <si>
    <t>5297</t>
  </si>
  <si>
    <t>Chapter Growth &amp; Advertising Grants</t>
  </si>
  <si>
    <t>Chapter Grants</t>
  </si>
  <si>
    <t>New Chapter Expenses</t>
  </si>
  <si>
    <t>increase in postage and member growth</t>
  </si>
  <si>
    <t>Affiliates Advisory Council</t>
  </si>
  <si>
    <t>5007</t>
  </si>
  <si>
    <t>inrease by inflation</t>
  </si>
  <si>
    <t>includes NARPM pins</t>
  </si>
  <si>
    <t>Travel Committee Chair</t>
  </si>
  <si>
    <t>Membership Services</t>
  </si>
  <si>
    <t>5000</t>
  </si>
  <si>
    <t>2027 notes</t>
  </si>
  <si>
    <t>Dept 181 Member Services Committee</t>
  </si>
  <si>
    <t>Dept 180  Operations &amp; Admin</t>
  </si>
  <si>
    <t>2023 YTD</t>
  </si>
  <si>
    <t xml:space="preserve">Budget </t>
  </si>
  <si>
    <t>3000</t>
  </si>
  <si>
    <t>Regular Member Dues</t>
  </si>
  <si>
    <t>Took out associates</t>
  </si>
  <si>
    <t>$100000 below budget in 2025; with a strong member recruitment program the numbers will grow. Looking at growth of 15 new member a month</t>
  </si>
  <si>
    <t>3002</t>
  </si>
  <si>
    <t>Regular New</t>
  </si>
  <si>
    <t>3005</t>
  </si>
  <si>
    <t xml:space="preserve">Support Renewal </t>
  </si>
  <si>
    <t>support staff membership is no longer available</t>
  </si>
  <si>
    <t>3007</t>
  </si>
  <si>
    <t>Support New</t>
  </si>
  <si>
    <t>Associate Member Dues</t>
  </si>
  <si>
    <t>Grandfathered membership classification</t>
  </si>
  <si>
    <t>3010</t>
  </si>
  <si>
    <t>Affiliate Member Dues</t>
  </si>
  <si>
    <t>7% inc</t>
  </si>
  <si>
    <t>3012</t>
  </si>
  <si>
    <t>Affiliate New</t>
  </si>
  <si>
    <t>3014</t>
  </si>
  <si>
    <t>International Member Dues</t>
  </si>
  <si>
    <t>3016</t>
  </si>
  <si>
    <t>International New</t>
  </si>
  <si>
    <t>3020</t>
  </si>
  <si>
    <t>Company Membership Dues</t>
  </si>
  <si>
    <t>3021</t>
  </si>
  <si>
    <t>Add'l Member Dues</t>
  </si>
  <si>
    <t xml:space="preserve">Extra company members </t>
  </si>
  <si>
    <t>3022</t>
  </si>
  <si>
    <t>Add'l Support Member Dues</t>
  </si>
  <si>
    <t>support staff no longer available</t>
  </si>
  <si>
    <t>3023</t>
  </si>
  <si>
    <t>Add'l Assoc. Member Dues</t>
  </si>
  <si>
    <t>Total Dues Revenue</t>
  </si>
  <si>
    <t>With $25 dues increase should increase revenues $105825</t>
  </si>
  <si>
    <t>Other Revenue</t>
  </si>
  <si>
    <t>3125</t>
  </si>
  <si>
    <t>Interest &amp; Dividend Income</t>
  </si>
  <si>
    <t>interest rates coming down.</t>
  </si>
  <si>
    <t>3127</t>
  </si>
  <si>
    <t>Gain/Loss  Investments</t>
  </si>
  <si>
    <t>We do not budget for unrealized gains/losses</t>
  </si>
  <si>
    <t>Unrealized Gain/Loss On Investment</t>
  </si>
  <si>
    <t>3140</t>
  </si>
  <si>
    <t>3145</t>
  </si>
  <si>
    <t>Royalties</t>
  </si>
  <si>
    <t>Based on Home Depot Royalties Projections</t>
  </si>
  <si>
    <t>Annual Partnership Sponsorship</t>
  </si>
  <si>
    <t xml:space="preserve">## partners were billed $27500 broken down as follows. $7000 NARPM Official Partner, $10,000.00 Convention Partner, $3000.00 Broker Owner Partner, $5,000.00 Residential Partner, $500.00 Communication Partner, $2000 Legislative partner </t>
  </si>
  <si>
    <r>
      <rPr>
        <sz val="10"/>
        <color rgb="FFFF0000"/>
        <rFont val="Arial"/>
        <family val="2"/>
      </rPr>
      <t>17 partners</t>
    </r>
    <r>
      <rPr>
        <sz val="10"/>
        <color rgb="FF000000"/>
        <rFont val="Arial"/>
        <family val="2"/>
      </rPr>
      <t xml:space="preserve"> were billed $27500 broken down as follows. $7000 NARPM Official Partner, $10,000.00 Convention Partner, $3000.00 Broker Owner Partner, $5,000.00 Residential Partner, $500.00 Communication Partner, $2000 Legislative partner;  4 premier partners $10000 official partner $17000 convention partner; $12000 Broker Owner partner; $7500.00 Residential Partner, $500.00 Communication Partner, $3000 Legislative part</t>
    </r>
  </si>
  <si>
    <t>Grievance Income</t>
  </si>
  <si>
    <t>3150</t>
  </si>
  <si>
    <t>Prior Year Revenue</t>
  </si>
  <si>
    <t>OPERATING REVENUE</t>
  </si>
  <si>
    <t>Committee Support</t>
  </si>
  <si>
    <t>5135</t>
  </si>
  <si>
    <t>Board Meetings</t>
  </si>
  <si>
    <t>5136</t>
  </si>
  <si>
    <t>Other Board Expense</t>
  </si>
  <si>
    <t>5138</t>
  </si>
  <si>
    <t>Finance Committee</t>
  </si>
  <si>
    <t>5140</t>
  </si>
  <si>
    <t>Professional Standards Committee</t>
  </si>
  <si>
    <t>5141</t>
  </si>
  <si>
    <t>Nominating Committee</t>
  </si>
  <si>
    <t>5146</t>
  </si>
  <si>
    <t>Ad Hoc</t>
  </si>
  <si>
    <t>5156</t>
  </si>
  <si>
    <t>Technology Committee</t>
  </si>
  <si>
    <t>Have separate department budget</t>
  </si>
  <si>
    <t>Committee dissolved at end of 2025</t>
  </si>
  <si>
    <t>Total Committee Support</t>
  </si>
  <si>
    <t xml:space="preserve">Leadership </t>
  </si>
  <si>
    <t>5400</t>
  </si>
  <si>
    <t>President</t>
  </si>
  <si>
    <t>5410</t>
  </si>
  <si>
    <t>President Elect</t>
  </si>
  <si>
    <t>5411</t>
  </si>
  <si>
    <t>Other Chair Travel</t>
  </si>
  <si>
    <t>Chairs not in budget (event chairs)</t>
  </si>
  <si>
    <t>5413</t>
  </si>
  <si>
    <t>ASAE Leadership</t>
  </si>
  <si>
    <t>Added Treasurer to attend</t>
  </si>
  <si>
    <t xml:space="preserve">plus 4 virtual session new; </t>
  </si>
  <si>
    <t>5415</t>
  </si>
  <si>
    <t>Leadership StrategicTraining</t>
  </si>
  <si>
    <t>$7500 to add support from facilitator all year</t>
  </si>
  <si>
    <t>5416</t>
  </si>
  <si>
    <t>Atlantic Region VP</t>
  </si>
  <si>
    <t>5417</t>
  </si>
  <si>
    <t>SE Region VP</t>
  </si>
  <si>
    <t>No RVP's</t>
  </si>
  <si>
    <t>5418</t>
  </si>
  <si>
    <t>Central Region VP</t>
  </si>
  <si>
    <t>5419</t>
  </si>
  <si>
    <t>NW Region VP</t>
  </si>
  <si>
    <t>5420</t>
  </si>
  <si>
    <t>SW Region</t>
  </si>
  <si>
    <t>5421</t>
  </si>
  <si>
    <t>Pacific Region</t>
  </si>
  <si>
    <t>5422</t>
  </si>
  <si>
    <t>Treasurer</t>
  </si>
  <si>
    <t>5423</t>
  </si>
  <si>
    <t>Past President</t>
  </si>
  <si>
    <t>5424</t>
  </si>
  <si>
    <t>CEO Travel</t>
  </si>
  <si>
    <t>Director Travel</t>
  </si>
  <si>
    <t>8 directors for 2 conferences $5000 each</t>
  </si>
  <si>
    <t>5425</t>
  </si>
  <si>
    <t>Leadership Transition</t>
  </si>
  <si>
    <t>Board Meeting day, conf registration, and leader training day</t>
  </si>
  <si>
    <t>Pay full convention fees for 4 new board members</t>
  </si>
  <si>
    <t>Capitol Summit Travel BoD</t>
  </si>
  <si>
    <t>Board members expenses to attend ($2000 each x 10)</t>
  </si>
  <si>
    <t>Board members expenses to attend ($3000 each x 10)</t>
  </si>
  <si>
    <t>Total Leadership</t>
  </si>
  <si>
    <t>EXPENSES (CONTINUED)</t>
  </si>
  <si>
    <t>General Administration</t>
  </si>
  <si>
    <t>Recognition Items</t>
  </si>
  <si>
    <t>Printing/Photo Copies</t>
  </si>
  <si>
    <t>includes event cancellation insurance-Insurance is increasing</t>
  </si>
  <si>
    <t>Dues &amp; Subscriptions</t>
  </si>
  <si>
    <t>5245</t>
  </si>
  <si>
    <t>Taxes, Fees, &amp; License</t>
  </si>
  <si>
    <t>5255</t>
  </si>
  <si>
    <t>Bank Fees</t>
  </si>
  <si>
    <t>5263</t>
  </si>
  <si>
    <t>Credit Card Expense</t>
  </si>
  <si>
    <t>5265</t>
  </si>
  <si>
    <t>Telephone</t>
  </si>
  <si>
    <t>Depreciation Expense</t>
  </si>
  <si>
    <t>New Chapter Expense</t>
  </si>
  <si>
    <t>moved to 181-5295</t>
  </si>
  <si>
    <t>5306</t>
  </si>
  <si>
    <t>Video Conferencing</t>
  </si>
  <si>
    <t>5307</t>
  </si>
  <si>
    <t>Web Site</t>
  </si>
  <si>
    <t>Monthly Maint $500 Website updates $10,000</t>
  </si>
  <si>
    <t xml:space="preserve">Add $15,000 for hosting fee to monthly $550 maintenance fee and $9400 for upgrades and plug-ins on National website. Combine website and chapter website budgets. </t>
  </si>
  <si>
    <t>5309</t>
  </si>
  <si>
    <t>Chapter Websites</t>
  </si>
  <si>
    <t>Monthly Maint $550; plus $8,000 for other projects</t>
  </si>
  <si>
    <t>Combined above</t>
  </si>
  <si>
    <t>5313</t>
  </si>
  <si>
    <t>VA Support to Chapters</t>
  </si>
  <si>
    <t>Offer VA support to chapters. Includes 8% increase</t>
  </si>
  <si>
    <t>KPI Technolgy Project</t>
  </si>
  <si>
    <t>$7000 per month</t>
  </si>
  <si>
    <t>Board Deciding on PATH of KPI Project</t>
  </si>
  <si>
    <t>Events Consultant</t>
  </si>
  <si>
    <t>?????</t>
  </si>
  <si>
    <t>??????</t>
  </si>
  <si>
    <t>Waiting on firms to get back to us with proposals</t>
  </si>
  <si>
    <t>Donations</t>
  </si>
  <si>
    <t>Total General  Administration</t>
  </si>
  <si>
    <t>Professional Services</t>
  </si>
  <si>
    <t>Outside Accounting Services</t>
  </si>
  <si>
    <t>Audits and reviews</t>
  </si>
  <si>
    <t>Fractional CFO</t>
  </si>
  <si>
    <t>increased use of attorney</t>
  </si>
  <si>
    <t>Consultant</t>
  </si>
  <si>
    <t>Total Professional Services</t>
  </si>
  <si>
    <t>OPERATING  EXPENSES</t>
  </si>
  <si>
    <r>
      <rPr>
        <b/>
        <sz val="10"/>
        <color rgb="FFFF0000"/>
        <rFont val="Arial"/>
        <family val="2"/>
      </rPr>
      <t>(Optional)</t>
    </r>
    <r>
      <rPr>
        <sz val="10"/>
        <color rgb="FFFF0000"/>
        <rFont val="Arial"/>
        <family val="2"/>
      </rPr>
      <t xml:space="preserve"> Limited news media relations services: topical scanning, pitching, placing quotes and op-eds, fielding inquiries.</t>
    </r>
  </si>
  <si>
    <r>
      <t>Please view each proposed legal service as part of a package proposal from national property management attorney Monica Gilroy (available upon request).</t>
    </r>
    <r>
      <rPr>
        <b/>
        <i/>
        <sz val="10"/>
        <color rgb="FF000000"/>
        <rFont val="Arial"/>
        <family val="2"/>
      </rPr>
      <t xml:space="preserve"> Legal Hotline: Implementable by the end of January 2026.</t>
    </r>
    <r>
      <rPr>
        <b/>
        <sz val="10"/>
        <color rgb="FF000000"/>
        <rFont val="Arial"/>
        <family val="2"/>
      </rPr>
      <t xml:space="preserve"> </t>
    </r>
    <r>
      <rPr>
        <sz val="10"/>
        <color rgb="FF000000"/>
        <rFont val="Arial"/>
        <family val="2"/>
      </rPr>
      <t xml:space="preserve">This service will be priced at a $2500 flat fee per month for year one, to be adjusted up or down in subsequent years based upon yearly volume. Email based responses to members will be provided within 48 hours of receipt. The topics will be limited initially to all Federal Law related questions, for example, Lead Based Paint, Fair Housing, Fair Credit Reporting Act, Anti-Trust, ICE enforcement actions/subpoenas, Federal Subpoenas/Discovery requests, Employment Discrimination, Fair Labor Standards Act (Overtime, Misclassification of Staff). </t>
    </r>
  </si>
  <si>
    <r>
      <rPr>
        <b/>
        <i/>
        <sz val="10"/>
        <color rgb="FF000000"/>
        <rFont val="Arial"/>
        <family val="2"/>
      </rPr>
      <t>Creation of NARPM Best Practices Relating to Liability and Risk Management.</t>
    </r>
    <r>
      <rPr>
        <sz val="10"/>
        <color rgb="FF000000"/>
        <rFont val="Arial"/>
        <family val="2"/>
      </rPr>
      <t xml:space="preserve"> The cost of this Strategic Plan deliverable will be a $7500 flat fee; projected to be available by the beginning of the second quarter of 2026. The Best Practices will be set forth in the form of “Pillars” and are meant to be similar to the NARPM Accounting Standards (and will include an Accounting Pillar which adopts the same). Potential Pillars include Escrow Trust Accounting/Practices, Protecting NPI (Non-Public Personal Information), Onboarding, Habitability,  Consumer Complaints, and other topics. This will be collaborative with the Firm drafting the “Pillars” and input coming from NARPM leadership and staff. Best Practices will serve as compliance tools and resources for the NARPM Membership when formulating policies and procedures. The framework will encourage our members to continually improve their practices to ensure financial and operational stability. The “Pillars” can be updated at a flat fee of $1,000 to reflect current industry needs and standards if needed every year or most likely every other year and upon significant industry changes.
</t>
    </r>
  </si>
  <si>
    <r>
      <rPr>
        <b/>
        <i/>
        <sz val="10"/>
        <color rgb="FF000000"/>
        <rFont val="Arial"/>
        <family val="2"/>
      </rPr>
      <t>Legal/Liability Education as an Outside Counsel for National NARPM</t>
    </r>
    <r>
      <rPr>
        <sz val="10"/>
        <color rgb="FF000000"/>
        <rFont val="Arial"/>
        <family val="2"/>
      </rPr>
      <t xml:space="preserve"> - Quarterly three-day visits to NARPM National Headquarters to develop and create/tape webinars, podcasts, and other educational presentations with NARPM Staff. *14,200 (1,000 per quarter flat fee for 3-day vist plus all travel expenses for 3 nights per quarter (hotel, flight, food, incidentals). </t>
    </r>
    <r>
      <rPr>
        <b/>
        <sz val="10"/>
        <color rgb="FF000000"/>
        <rFont val="Arial"/>
        <family val="2"/>
      </rPr>
      <t>*Estimate for travel expenses for 12 days is 10,200.</t>
    </r>
  </si>
  <si>
    <r>
      <rPr>
        <b/>
        <i/>
        <sz val="10"/>
        <color rgb="FF000000"/>
        <rFont val="Arial"/>
        <family val="2"/>
      </rPr>
      <t>Legal/Liability Education as an Outside Counsel for National NARPM</t>
    </r>
    <r>
      <rPr>
        <sz val="10"/>
        <color rgb="FF000000"/>
        <rFont val="Arial"/>
        <family val="2"/>
      </rPr>
      <t xml:space="preserve"> can be further expanded to have Monica Gilroy travel to NARPM Chapter Meetings, Chapter Conferences or other industry events as a representative of National NARPM when she is not a speaker. While in attendance, Monica Gilroy would hold “office hours” at/before/after those meetings/events to assist NARPM Members with legal issues, compliance and risk management. The cost would be $500 per event plus all travel expenses as stated above.</t>
    </r>
    <r>
      <rPr>
        <b/>
        <sz val="10"/>
        <color rgb="FF000000"/>
        <rFont val="Arial"/>
        <family val="2"/>
      </rPr>
      <t xml:space="preserve"> *4,000 (500 per event plus 2500 for all travel expenses for 3 events)  Recommend beginning at 3 major regional/state events.</t>
    </r>
    <r>
      <rPr>
        <sz val="10"/>
        <color rgb="FF000000"/>
        <rFont val="Arial"/>
        <family val="2"/>
      </rPr>
      <t xml:space="preserve"> </t>
    </r>
  </si>
  <si>
    <r>
      <t xml:space="preserve">Dept 185 </t>
    </r>
    <r>
      <rPr>
        <sz val="10"/>
        <color rgb="FF000000"/>
        <rFont val="Arial"/>
        <family val="2"/>
      </rPr>
      <t>Chapter Leader Training</t>
    </r>
  </si>
  <si>
    <t>Income</t>
  </si>
  <si>
    <t>Expenses</t>
  </si>
  <si>
    <t xml:space="preserve">  </t>
  </si>
  <si>
    <t>Total Profit</t>
  </si>
  <si>
    <t>Total Expenses</t>
  </si>
  <si>
    <t>Individuals</t>
  </si>
  <si>
    <t>Party Caucus Committees</t>
  </si>
  <si>
    <t>Total Revenue</t>
  </si>
  <si>
    <t>a</t>
  </si>
  <si>
    <t>Contributions</t>
  </si>
  <si>
    <t>Notes</t>
  </si>
  <si>
    <t>2027 Budget</t>
  </si>
  <si>
    <t>2026 Budget</t>
  </si>
  <si>
    <t>2025 Budget</t>
  </si>
  <si>
    <t>2024 Budget</t>
  </si>
  <si>
    <t>Revenue</t>
  </si>
  <si>
    <t>Aug 2025 YTD</t>
  </si>
  <si>
    <t>2026 PAC Budget</t>
  </si>
  <si>
    <t>National brand campaign - campaign</t>
  </si>
  <si>
    <t xml:space="preserve">NARPM doing a 5-year contract to lower cost in 2026. Savannah will work on getting a quote. </t>
  </si>
  <si>
    <t>New automated registration system, App, and lead share system</t>
  </si>
  <si>
    <t>On arrival and App CVENT</t>
  </si>
  <si>
    <t xml:space="preserve">Most of the cost for this is food &amp; beverage. I only put the cost for additional entertainment here. </t>
  </si>
  <si>
    <t>Opening Celebration</t>
  </si>
  <si>
    <t>5395</t>
  </si>
  <si>
    <t xml:space="preserve">Member speakers get comped registration as of 2025. </t>
  </si>
  <si>
    <t xml:space="preserve">We do this separately for the summer board meeting. </t>
  </si>
  <si>
    <t>Site Inspection</t>
  </si>
  <si>
    <t>5372</t>
  </si>
  <si>
    <t>room rental charges + hotel fedex holding fees</t>
  </si>
  <si>
    <t>Room rental charges</t>
  </si>
  <si>
    <t xml:space="preserve">venue is not selected for 2026 yet. </t>
  </si>
  <si>
    <t>Balance $0 with 182-3707</t>
  </si>
  <si>
    <t>Past President Charity Event</t>
  </si>
  <si>
    <t>5354</t>
  </si>
  <si>
    <t>Minimum is 550,000 + 19% (non tax) gratuity, + 6% service charge + 8.375% sales tax</t>
  </si>
  <si>
    <t xml:space="preserve">Will get quote from Everessi </t>
  </si>
  <si>
    <t>Photographer</t>
  </si>
  <si>
    <t>5329</t>
  </si>
  <si>
    <t>Communications</t>
  </si>
  <si>
    <t xml:space="preserve">Larger hotel, convention is up escalators. - Megan is thinking treasure map vibes. </t>
  </si>
  <si>
    <t>Entertainment</t>
  </si>
  <si>
    <t>5320</t>
  </si>
  <si>
    <t>3rd party Hotel contractor</t>
  </si>
  <si>
    <t>Temporary Service/Hotel Contract facilitator</t>
  </si>
  <si>
    <t>expect an increase in travel costs overall.</t>
  </si>
  <si>
    <t>Staff travel</t>
  </si>
  <si>
    <t>Attrition</t>
  </si>
  <si>
    <t xml:space="preserve">We don't do these anymore. </t>
  </si>
  <si>
    <t>sponsor napkins, lanyards, napkins, ribbons</t>
  </si>
  <si>
    <t>Committee Chair hotel</t>
  </si>
  <si>
    <t>Convention Committee</t>
  </si>
  <si>
    <t>5147</t>
  </si>
  <si>
    <t>100 booths at $5,000 Depends on size of exhibitor hall - need to discuss raising prices to include meals. Increase in price is reflected in buget (was $2,900 in 2025).</t>
  </si>
  <si>
    <t>Raise booth fees $2900 to include 2 meal packages; $3300 for non members</t>
  </si>
  <si>
    <t>30 at $600</t>
  </si>
  <si>
    <t>Single Day Tickets</t>
  </si>
  <si>
    <t>3723</t>
  </si>
  <si>
    <t>Promotional Material;</t>
  </si>
  <si>
    <t xml:space="preserve">leaving meal tickets out - ideally we will just charge extra for exhibitor booth registration. </t>
  </si>
  <si>
    <t>Reduced to $600</t>
  </si>
  <si>
    <t>Meal Tickets</t>
  </si>
  <si>
    <t>3718</t>
  </si>
  <si>
    <t xml:space="preserve">Increasing sponsorships for new activations - probably need some food and beverage sponsors. Exceeded 2024 &amp; 2025 budget. </t>
  </si>
  <si>
    <t>in 2024 exceeded sponsor budget so increased 2025</t>
  </si>
  <si>
    <t>100 participants @ $150</t>
  </si>
  <si>
    <t>Past President Event Charity</t>
  </si>
  <si>
    <t>3707</t>
  </si>
  <si>
    <t>Please note food &amp; beverage costs for vegas. We should consider raising registration prices. I didn’t show a cost increase in the registration in the budget. this reflects a 5% increase (proposed by committee chair) to reflect the increase in value. $830</t>
  </si>
  <si>
    <t>550 registrants @ $790 40 nonmembers $990</t>
  </si>
  <si>
    <t>Advertising</t>
  </si>
  <si>
    <t>17 Partners at $12,500- not including premier partnership</t>
  </si>
  <si>
    <t>13 partners @ $10,000 plus $2500 added for PlanOmatic sponsor</t>
  </si>
  <si>
    <t>Dept 182 Convention</t>
  </si>
  <si>
    <t>Circle Web App</t>
  </si>
  <si>
    <t>YOY</t>
  </si>
  <si>
    <t>Over 5yr Avg.</t>
  </si>
  <si>
    <t>Michael McVety</t>
  </si>
  <si>
    <t>Angela Holman</t>
  </si>
  <si>
    <t>Donna</t>
  </si>
  <si>
    <t>Christy Ward</t>
  </si>
  <si>
    <t>Troy Garrett</t>
  </si>
  <si>
    <t>Vicki Gaskill</t>
  </si>
  <si>
    <t>Monthly financials typically available bu the 15th of the month.</t>
  </si>
  <si>
    <t>Missing $200K from Premier Membership</t>
  </si>
  <si>
    <t>Angela suggested $20/member</t>
  </si>
  <si>
    <t>This committee chair does not travel, delete $3,000</t>
  </si>
  <si>
    <t>DD</t>
  </si>
  <si>
    <t>Multiview is a listings site that pays royalties</t>
  </si>
  <si>
    <t>This may be double dipped with the new national media campaign</t>
  </si>
  <si>
    <t>Generel Note: Budget tabs should have panes frozen so first row and first column stay visible</t>
  </si>
  <si>
    <t>Melissa</t>
  </si>
  <si>
    <t>Blake Hedgeman</t>
  </si>
  <si>
    <t>Add Expense Detail</t>
  </si>
  <si>
    <t>Continuation</t>
  </si>
  <si>
    <t>Capital Projects</t>
  </si>
  <si>
    <t>New Strategic Projects</t>
  </si>
  <si>
    <t xml:space="preserve">Welcome Reception </t>
  </si>
  <si>
    <t>expenses</t>
  </si>
  <si>
    <t>revenue</t>
  </si>
  <si>
    <t>CORRECT EXPENSE/REVENUE VALUES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</si>
</sst>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_);[Red]\(&quot;$&quot;#,##0.00\)"/>
    <numFmt numFmtId="44" formatCode="_(&quot;$&quot;* #,##0.00_);_(&quot;$&quot;* \(#,##0.00\);_(&quot;$&quot;* &quot;-&quot;??_);_(@_)"/>
    <numFmt numFmtId="43" formatCode="_(* #,##0.00_);_(* \(#,##0.00\);_(* &quot;-&quot;??_);_(@_)"/>
    <numFmt numFmtId="164" formatCode="[$$]#,##0.00_);\([$$]#,##0.00\)"/>
    <numFmt numFmtId="165" formatCode="&quot;$&quot;#,##0.00"/>
    <numFmt numFmtId="166" formatCode="[$$-380A]\ #,##0.00;\-[$$-380A]\ #,##0.00"/>
    <numFmt numFmtId="167" formatCode="[$$]#,##0_);\([$$]#,##0\)"/>
    <numFmt numFmtId="168" formatCode="0.0%"/>
  </numFmts>
  <fonts count="30" x14ac:knownFonts="1">
    <font>
      <sz val="11"/>
      <color theme="1"/>
      <name val="Aptos Narrow"/>
      <family val="2"/>
      <scheme val="minor"/>
    </font>
    <font>
      <sz val="11"/>
      <color theme="1"/>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b/>
      <sz val="10"/>
      <color rgb="FF000000"/>
      <name val="Arial"/>
      <family val="2"/>
    </font>
    <font>
      <sz val="10"/>
      <color theme="1"/>
      <name val="Arial"/>
      <family val="2"/>
    </font>
    <font>
      <sz val="10"/>
      <color rgb="FF000000"/>
      <name val="Arial"/>
      <family val="2"/>
    </font>
    <font>
      <b/>
      <sz val="10"/>
      <color theme="1"/>
      <name val="Arial"/>
      <family val="2"/>
    </font>
    <font>
      <b/>
      <sz val="10"/>
      <color rgb="FFFF0000"/>
      <name val="Arial"/>
      <family val="2"/>
    </font>
    <font>
      <sz val="8.25"/>
      <color rgb="FF000000"/>
      <name val="Microsoft Sans Serif"/>
      <family val="2"/>
    </font>
    <font>
      <u/>
      <sz val="8.25"/>
      <color theme="10"/>
      <name val="Microsoft Sans Serif"/>
      <family val="2"/>
    </font>
    <font>
      <sz val="11"/>
      <color theme="1"/>
      <name val="Arial"/>
      <family val="2"/>
    </font>
    <font>
      <u/>
      <sz val="10"/>
      <color rgb="FF000000"/>
      <name val="Arial"/>
      <family val="2"/>
    </font>
    <font>
      <b/>
      <sz val="11"/>
      <color theme="1"/>
      <name val="Arial"/>
      <family val="2"/>
    </font>
    <font>
      <sz val="10"/>
      <color rgb="FFFF0000"/>
      <name val="Arial"/>
      <family val="2"/>
    </font>
    <font>
      <sz val="10"/>
      <name val="Arial"/>
      <family val="2"/>
    </font>
    <font>
      <strike/>
      <sz val="10"/>
      <name val="Arial"/>
      <family val="2"/>
    </font>
    <font>
      <b/>
      <sz val="10"/>
      <name val="Arial"/>
      <family val="2"/>
    </font>
    <font>
      <sz val="10"/>
      <color indexed="8"/>
      <name val="Arial"/>
      <family val="2"/>
    </font>
    <font>
      <u/>
      <sz val="10"/>
      <color theme="10"/>
      <name val="Arial"/>
      <family val="2"/>
    </font>
    <font>
      <b/>
      <sz val="10"/>
      <color indexed="8"/>
      <name val="Arial"/>
      <family val="2"/>
    </font>
    <font>
      <b/>
      <i/>
      <sz val="10"/>
      <color rgb="FF000000"/>
      <name val="Arial"/>
      <family val="2"/>
    </font>
    <font>
      <b/>
      <sz val="11"/>
      <color theme="1"/>
      <name val="Aptos Narrow"/>
      <family val="2"/>
      <scheme val="minor"/>
    </font>
    <font>
      <b/>
      <sz val="9"/>
      <color rgb="FF000000"/>
      <name val="Arial"/>
      <family val="2"/>
    </font>
    <font>
      <sz val="9"/>
      <color rgb="FF000000"/>
      <name val="Arial"/>
      <family val="2"/>
    </font>
    <font>
      <sz val="8.25"/>
      <color theme="1"/>
      <name val="Microsoft Sans Serif"/>
      <family val="2"/>
    </font>
    <font>
      <sz val="8.25"/>
      <color rgb="FF000000"/>
      <name val="Microsoft Sans Serif"/>
      <family val="2"/>
    </font>
    <font>
      <sz val="9"/>
      <color theme="1"/>
      <name val="Arial"/>
      <family val="2"/>
    </font>
    <font>
      <b/>
      <sz val="8.85"/>
      <color rgb="FF000000"/>
      <name val="Arial"/>
      <family val="2"/>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theme="0"/>
        <bgColor indexed="64"/>
      </patternFill>
    </fill>
    <fill>
      <patternFill patternType="solid">
        <fgColor theme="2"/>
        <bgColor indexed="64"/>
      </patternFill>
    </fill>
    <fill>
      <patternFill patternType="solid">
        <fgColor theme="2" tint="0.79998168889431442"/>
        <bgColor indexed="64"/>
      </patternFill>
    </fill>
    <fill>
      <patternFill patternType="solid">
        <fgColor rgb="FFFFC000"/>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FF0000"/>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rgb="FF000000"/>
      </top>
      <bottom style="thin">
        <color rgb="FF000000"/>
      </bottom>
      <diagonal/>
    </border>
    <border>
      <left/>
      <right/>
      <top style="thin">
        <color auto="1"/>
      </top>
      <bottom style="thin">
        <color auto="1"/>
      </bottom>
      <diagonal/>
    </border>
    <border>
      <left style="thin">
        <color indexed="64"/>
      </left>
      <right style="thin">
        <color indexed="64"/>
      </right>
      <top/>
      <bottom/>
      <diagonal/>
    </border>
    <border>
      <left/>
      <right/>
      <top style="thin">
        <color auto="1"/>
      </top>
      <bottom/>
      <diagonal/>
    </border>
    <border>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auto="1"/>
      </right>
      <top/>
      <bottom style="thin">
        <color auto="1"/>
      </bottom>
      <diagonal/>
    </border>
    <border>
      <left/>
      <right/>
      <top/>
      <bottom style="thin">
        <color rgb="FF000000"/>
      </bottom>
      <diagonal/>
    </border>
    <border>
      <left style="thin">
        <color theme="1"/>
      </left>
      <right style="thin">
        <color theme="1"/>
      </right>
      <top style="thin">
        <color theme="1"/>
      </top>
      <bottom style="thin">
        <color theme="1"/>
      </bottom>
      <diagonal/>
    </border>
    <border>
      <left/>
      <right/>
      <top/>
      <bottom style="double">
        <color rgb="FF000000"/>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s>
  <cellStyleXfs count="9">
    <xf numFmtId="0" fontId="0" fillId="0" borderId="0"/>
    <xf numFmtId="43" fontId="1" fillId="0" borderId="0" applyFont="0" applyFill="0" applyBorder="0" applyAlignment="0" applyProtection="0"/>
    <xf numFmtId="44" fontId="1" fillId="0" borderId="0" applyFont="0" applyFill="0" applyBorder="0" applyAlignment="0" applyProtection="0"/>
    <xf numFmtId="0" fontId="2" fillId="2" borderId="0" applyNumberFormat="0" applyBorder="0" applyAlignment="0" applyProtection="0"/>
    <xf numFmtId="0" fontId="3" fillId="3" borderId="0" applyNumberFormat="0" applyBorder="0" applyAlignment="0" applyProtection="0"/>
    <xf numFmtId="0" fontId="4" fillId="4" borderId="0" applyNumberFormat="0" applyBorder="0" applyAlignment="0" applyProtection="0"/>
    <xf numFmtId="0" fontId="10" fillId="0" borderId="0" applyAlignment="0"/>
    <xf numFmtId="0" fontId="11" fillId="0" borderId="0" applyNumberFormat="0" applyFill="0" applyBorder="0" applyAlignment="0" applyProtection="0"/>
    <xf numFmtId="9" fontId="1" fillId="0" borderId="0" applyFont="0" applyFill="0" applyBorder="0" applyAlignment="0" applyProtection="0"/>
  </cellStyleXfs>
  <cellXfs count="475">
    <xf numFmtId="0" fontId="0" fillId="0" borderId="0" xfId="0"/>
    <xf numFmtId="0" fontId="6" fillId="0" borderId="0" xfId="0" applyFont="1"/>
    <xf numFmtId="0" fontId="5" fillId="0" borderId="2" xfId="0" applyFont="1" applyBorder="1" applyAlignment="1">
      <alignment horizontal="center"/>
    </xf>
    <xf numFmtId="0" fontId="7" fillId="0" borderId="2" xfId="0" applyFont="1" applyBorder="1"/>
    <xf numFmtId="17" fontId="5" fillId="0" borderId="2" xfId="0" applyNumberFormat="1" applyFont="1" applyBorder="1" applyAlignment="1">
      <alignment horizontal="center"/>
    </xf>
    <xf numFmtId="0" fontId="5" fillId="0" borderId="2" xfId="0" applyFont="1" applyBorder="1" applyAlignment="1">
      <alignment horizontal="center" wrapText="1"/>
    </xf>
    <xf numFmtId="0" fontId="8" fillId="0" borderId="2" xfId="0" applyFont="1" applyBorder="1"/>
    <xf numFmtId="0" fontId="7" fillId="0" borderId="2" xfId="0" applyFont="1" applyBorder="1" applyAlignment="1">
      <alignment wrapText="1"/>
    </xf>
    <xf numFmtId="0" fontId="6" fillId="0" borderId="2" xfId="0" applyFont="1" applyBorder="1"/>
    <xf numFmtId="0" fontId="5" fillId="0" borderId="2" xfId="0" applyFont="1" applyBorder="1" applyAlignment="1">
      <alignment horizontal="left"/>
    </xf>
    <xf numFmtId="0" fontId="7" fillId="0" borderId="3" xfId="0" applyFont="1" applyBorder="1" applyAlignment="1">
      <alignment horizontal="left"/>
    </xf>
    <xf numFmtId="164" fontId="7" fillId="0" borderId="3" xfId="0" applyNumberFormat="1" applyFont="1" applyBorder="1" applyAlignment="1">
      <alignment horizontal="right"/>
    </xf>
    <xf numFmtId="40" fontId="7" fillId="0" borderId="3" xfId="0" applyNumberFormat="1" applyFont="1" applyBorder="1" applyAlignment="1">
      <alignment horizontal="right"/>
    </xf>
    <xf numFmtId="164" fontId="7" fillId="0" borderId="0" xfId="0" applyNumberFormat="1" applyFont="1" applyAlignment="1">
      <alignment horizontal="right"/>
    </xf>
    <xf numFmtId="164" fontId="7" fillId="0" borderId="2" xfId="0" applyNumberFormat="1" applyFont="1" applyBorder="1" applyAlignment="1">
      <alignment horizontal="right"/>
    </xf>
    <xf numFmtId="43" fontId="7" fillId="0" borderId="3" xfId="1" applyFont="1" applyBorder="1" applyAlignment="1">
      <alignment horizontal="right"/>
    </xf>
    <xf numFmtId="43" fontId="7" fillId="0" borderId="2" xfId="1" applyFont="1" applyBorder="1"/>
    <xf numFmtId="0" fontId="7" fillId="0" borderId="3" xfId="0" applyFont="1" applyBorder="1" applyAlignment="1">
      <alignment wrapText="1"/>
    </xf>
    <xf numFmtId="0" fontId="7" fillId="0" borderId="2" xfId="0" applyFont="1" applyBorder="1" applyAlignment="1">
      <alignment horizontal="left"/>
    </xf>
    <xf numFmtId="39" fontId="7" fillId="0" borderId="2" xfId="0" applyNumberFormat="1" applyFont="1" applyBorder="1" applyAlignment="1">
      <alignment horizontal="right"/>
    </xf>
    <xf numFmtId="0" fontId="5" fillId="0" borderId="4" xfId="0" applyFont="1" applyBorder="1" applyAlignment="1">
      <alignment horizontal="left"/>
    </xf>
    <xf numFmtId="39" fontId="5" fillId="0" borderId="4" xfId="0" applyNumberFormat="1" applyFont="1" applyBorder="1" applyAlignment="1">
      <alignment horizontal="right"/>
    </xf>
    <xf numFmtId="40" fontId="7" fillId="0" borderId="4" xfId="0" applyNumberFormat="1" applyFont="1" applyBorder="1" applyAlignment="1">
      <alignment horizontal="right"/>
    </xf>
    <xf numFmtId="39" fontId="5" fillId="0" borderId="0" xfId="0" applyNumberFormat="1" applyFont="1" applyAlignment="1">
      <alignment horizontal="right"/>
    </xf>
    <xf numFmtId="43" fontId="5" fillId="0" borderId="4" xfId="0" applyNumberFormat="1" applyFont="1" applyBorder="1" applyAlignment="1">
      <alignment horizontal="right"/>
    </xf>
    <xf numFmtId="43" fontId="5" fillId="0" borderId="2" xfId="0" applyNumberFormat="1" applyFont="1" applyBorder="1"/>
    <xf numFmtId="0" fontId="7" fillId="0" borderId="4" xfId="0" applyFont="1" applyBorder="1" applyAlignment="1">
      <alignment wrapText="1"/>
    </xf>
    <xf numFmtId="0" fontId="5" fillId="0" borderId="2" xfId="0" applyFont="1" applyBorder="1" applyAlignment="1">
      <alignment horizontal="right"/>
    </xf>
    <xf numFmtId="0" fontId="7" fillId="0" borderId="2" xfId="0" applyFont="1" applyBorder="1" applyAlignment="1">
      <alignment horizontal="right"/>
    </xf>
    <xf numFmtId="40" fontId="7" fillId="0" borderId="2" xfId="0" applyNumberFormat="1" applyFont="1" applyBorder="1" applyAlignment="1">
      <alignment horizontal="right"/>
    </xf>
    <xf numFmtId="43" fontId="7" fillId="0" borderId="2" xfId="1" applyFont="1" applyBorder="1" applyAlignment="1">
      <alignment horizontal="right"/>
    </xf>
    <xf numFmtId="43" fontId="7" fillId="0" borderId="2" xfId="1" applyFont="1" applyFill="1" applyBorder="1" applyAlignment="1">
      <alignment horizontal="right"/>
    </xf>
    <xf numFmtId="43" fontId="7" fillId="0" borderId="2" xfId="1" applyFont="1" applyFill="1" applyBorder="1"/>
    <xf numFmtId="0" fontId="7" fillId="0" borderId="2" xfId="0" applyFont="1" applyBorder="1" applyAlignment="1">
      <alignment horizontal="left" wrapText="1"/>
    </xf>
    <xf numFmtId="0" fontId="7" fillId="0" borderId="0" xfId="0" applyFont="1" applyAlignment="1">
      <alignment wrapText="1"/>
    </xf>
    <xf numFmtId="0" fontId="9" fillId="0" borderId="2" xfId="0" applyFont="1" applyBorder="1" applyAlignment="1">
      <alignment horizontal="left"/>
    </xf>
    <xf numFmtId="39" fontId="9" fillId="0" borderId="2" xfId="0" applyNumberFormat="1" applyFont="1" applyBorder="1" applyAlignment="1">
      <alignment horizontal="right"/>
    </xf>
    <xf numFmtId="40" fontId="9" fillId="0" borderId="2" xfId="0" applyNumberFormat="1" applyFont="1" applyBorder="1" applyAlignment="1">
      <alignment horizontal="right"/>
    </xf>
    <xf numFmtId="43" fontId="9" fillId="0" borderId="2" xfId="1" applyFont="1" applyBorder="1" applyAlignment="1">
      <alignment horizontal="right"/>
    </xf>
    <xf numFmtId="43" fontId="9" fillId="0" borderId="2" xfId="1" applyFont="1" applyFill="1" applyBorder="1" applyAlignment="1">
      <alignment horizontal="right"/>
    </xf>
    <xf numFmtId="43" fontId="9" fillId="0" borderId="2" xfId="1" applyFont="1" applyFill="1" applyBorder="1"/>
    <xf numFmtId="0" fontId="9" fillId="0" borderId="2" xfId="0" applyFont="1" applyBorder="1" applyAlignment="1">
      <alignment wrapText="1"/>
    </xf>
    <xf numFmtId="0" fontId="9" fillId="0" borderId="2" xfId="0" applyFont="1" applyBorder="1" applyAlignment="1">
      <alignment horizontal="left" wrapText="1"/>
    </xf>
    <xf numFmtId="39" fontId="7" fillId="0" borderId="0" xfId="0" applyNumberFormat="1" applyFont="1" applyAlignment="1">
      <alignment horizontal="right"/>
    </xf>
    <xf numFmtId="0" fontId="9" fillId="5" borderId="2" xfId="0" applyFont="1" applyFill="1" applyBorder="1" applyAlignment="1">
      <alignment horizontal="left"/>
    </xf>
    <xf numFmtId="39" fontId="9" fillId="5" borderId="2" xfId="0" applyNumberFormat="1" applyFont="1" applyFill="1" applyBorder="1" applyAlignment="1">
      <alignment horizontal="right"/>
    </xf>
    <xf numFmtId="40" fontId="9" fillId="5" borderId="2" xfId="0" applyNumberFormat="1" applyFont="1" applyFill="1" applyBorder="1" applyAlignment="1">
      <alignment horizontal="right"/>
    </xf>
    <xf numFmtId="43" fontId="9" fillId="5" borderId="2" xfId="1" applyFont="1" applyFill="1" applyBorder="1" applyAlignment="1">
      <alignment horizontal="right"/>
    </xf>
    <xf numFmtId="0" fontId="9" fillId="5" borderId="2" xfId="0" applyFont="1" applyFill="1" applyBorder="1" applyAlignment="1">
      <alignment wrapText="1"/>
    </xf>
    <xf numFmtId="0" fontId="9" fillId="0" borderId="2" xfId="0" applyFont="1" applyBorder="1"/>
    <xf numFmtId="39" fontId="5" fillId="0" borderId="2" xfId="0" applyNumberFormat="1" applyFont="1" applyBorder="1" applyAlignment="1">
      <alignment horizontal="right"/>
    </xf>
    <xf numFmtId="40" fontId="5" fillId="0" borderId="2" xfId="0" applyNumberFormat="1" applyFont="1" applyBorder="1" applyAlignment="1">
      <alignment horizontal="right"/>
    </xf>
    <xf numFmtId="43" fontId="5" fillId="0" borderId="2" xfId="1" applyFont="1" applyBorder="1" applyAlignment="1">
      <alignment horizontal="right"/>
    </xf>
    <xf numFmtId="39" fontId="5" fillId="0" borderId="3" xfId="0" applyNumberFormat="1" applyFont="1" applyBorder="1" applyAlignment="1">
      <alignment horizontal="right"/>
    </xf>
    <xf numFmtId="0" fontId="5" fillId="5" borderId="0" xfId="0" applyFont="1" applyFill="1" applyAlignment="1">
      <alignment horizontal="center"/>
    </xf>
    <xf numFmtId="0" fontId="7" fillId="5" borderId="0" xfId="0" applyFont="1" applyFill="1" applyAlignment="1">
      <alignment horizontal="center"/>
    </xf>
    <xf numFmtId="0" fontId="6" fillId="5" borderId="0" xfId="0" applyFont="1" applyFill="1"/>
    <xf numFmtId="0" fontId="5" fillId="0" borderId="0" xfId="0" applyFont="1" applyAlignment="1">
      <alignment horizontal="center"/>
    </xf>
    <xf numFmtId="0" fontId="7" fillId="0" borderId="0" xfId="0" applyFont="1"/>
    <xf numFmtId="17" fontId="5" fillId="0" borderId="0" xfId="0" applyNumberFormat="1" applyFont="1" applyAlignment="1">
      <alignment horizontal="center"/>
    </xf>
    <xf numFmtId="0" fontId="8" fillId="5" borderId="0" xfId="0" applyFont="1" applyFill="1"/>
    <xf numFmtId="4" fontId="7" fillId="0" borderId="1" xfId="0" applyNumberFormat="1" applyFont="1" applyBorder="1"/>
    <xf numFmtId="2" fontId="7" fillId="0" borderId="2" xfId="1" applyNumberFormat="1" applyFont="1" applyBorder="1" applyAlignment="1">
      <alignment horizontal="right"/>
    </xf>
    <xf numFmtId="165" fontId="7" fillId="0" borderId="2" xfId="1" applyNumberFormat="1" applyFont="1" applyBorder="1" applyAlignment="1">
      <alignment horizontal="right"/>
    </xf>
    <xf numFmtId="0" fontId="7" fillId="0" borderId="5" xfId="0" applyFont="1" applyBorder="1" applyAlignment="1">
      <alignment wrapText="1"/>
    </xf>
    <xf numFmtId="43" fontId="7" fillId="0" borderId="2" xfId="1" applyFont="1" applyBorder="1" applyAlignment="1">
      <alignment horizontal="right" vertical="center"/>
    </xf>
    <xf numFmtId="4" fontId="7" fillId="0" borderId="2" xfId="0" applyNumberFormat="1" applyFont="1" applyBorder="1" applyAlignment="1">
      <alignment horizontal="right"/>
    </xf>
    <xf numFmtId="165" fontId="6" fillId="0" borderId="2" xfId="0" applyNumberFormat="1" applyFont="1" applyBorder="1" applyAlignment="1">
      <alignment horizontal="right"/>
    </xf>
    <xf numFmtId="0" fontId="7" fillId="5" borderId="5" xfId="0" applyFont="1" applyFill="1" applyBorder="1" applyAlignment="1">
      <alignment wrapText="1"/>
    </xf>
    <xf numFmtId="165" fontId="7" fillId="0" borderId="2" xfId="0" applyNumberFormat="1" applyFont="1" applyBorder="1" applyAlignment="1">
      <alignment horizontal="right"/>
    </xf>
    <xf numFmtId="165" fontId="7" fillId="0" borderId="0" xfId="0" applyNumberFormat="1" applyFont="1"/>
    <xf numFmtId="165" fontId="7" fillId="0" borderId="2" xfId="0" applyNumberFormat="1" applyFont="1" applyBorder="1"/>
    <xf numFmtId="4" fontId="6" fillId="0" borderId="2" xfId="1" applyNumberFormat="1" applyFont="1" applyBorder="1" applyAlignment="1">
      <alignment horizontal="right"/>
    </xf>
    <xf numFmtId="165" fontId="6" fillId="0" borderId="0" xfId="1" applyNumberFormat="1" applyFont="1" applyBorder="1"/>
    <xf numFmtId="165" fontId="6" fillId="0" borderId="2" xfId="1" applyNumberFormat="1" applyFont="1" applyBorder="1" applyAlignment="1">
      <alignment horizontal="right"/>
    </xf>
    <xf numFmtId="4" fontId="7" fillId="0" borderId="2" xfId="1" applyNumberFormat="1" applyFont="1" applyBorder="1" applyAlignment="1">
      <alignment horizontal="right"/>
    </xf>
    <xf numFmtId="165" fontId="7" fillId="0" borderId="2" xfId="1" applyNumberFormat="1" applyFont="1" applyBorder="1"/>
    <xf numFmtId="4" fontId="5" fillId="0" borderId="2" xfId="0" applyNumberFormat="1" applyFont="1" applyBorder="1" applyAlignment="1">
      <alignment horizontal="right"/>
    </xf>
    <xf numFmtId="165" fontId="7" fillId="0" borderId="6" xfId="0" applyNumberFormat="1" applyFont="1" applyBorder="1"/>
    <xf numFmtId="0" fontId="5" fillId="0" borderId="2" xfId="6" applyFont="1" applyBorder="1" applyAlignment="1">
      <alignment horizontal="left"/>
    </xf>
    <xf numFmtId="40" fontId="7" fillId="0" borderId="2" xfId="6" applyNumberFormat="1" applyFont="1" applyBorder="1" applyAlignment="1">
      <alignment horizontal="right"/>
    </xf>
    <xf numFmtId="40" fontId="5" fillId="0" borderId="2" xfId="6" applyNumberFormat="1" applyFont="1" applyBorder="1" applyAlignment="1">
      <alignment horizontal="right"/>
    </xf>
    <xf numFmtId="40" fontId="5" fillId="0" borderId="8" xfId="6" applyNumberFormat="1" applyFont="1" applyBorder="1"/>
    <xf numFmtId="0" fontId="12" fillId="0" borderId="0" xfId="0" applyFont="1"/>
    <xf numFmtId="0" fontId="5" fillId="7" borderId="0" xfId="0" applyFont="1" applyFill="1"/>
    <xf numFmtId="4" fontId="5" fillId="0" borderId="2" xfId="0" applyNumberFormat="1" applyFont="1" applyBorder="1"/>
    <xf numFmtId="4" fontId="5" fillId="0" borderId="6" xfId="0" applyNumberFormat="1" applyFont="1" applyBorder="1"/>
    <xf numFmtId="4" fontId="7" fillId="0" borderId="2" xfId="0" applyNumberFormat="1" applyFont="1" applyBorder="1"/>
    <xf numFmtId="4" fontId="7" fillId="0" borderId="6" xfId="0" applyNumberFormat="1" applyFont="1" applyBorder="1"/>
    <xf numFmtId="44" fontId="6" fillId="0" borderId="2" xfId="2" applyFont="1" applyBorder="1" applyAlignment="1"/>
    <xf numFmtId="4" fontId="7" fillId="0" borderId="10" xfId="0" applyNumberFormat="1" applyFont="1" applyBorder="1"/>
    <xf numFmtId="4" fontId="7" fillId="0" borderId="2" xfId="0" applyNumberFormat="1" applyFont="1" applyBorder="1" applyAlignment="1">
      <alignment vertical="center"/>
    </xf>
    <xf numFmtId="4" fontId="7" fillId="0" borderId="6" xfId="0" applyNumberFormat="1" applyFont="1" applyBorder="1" applyAlignment="1">
      <alignment vertical="center"/>
    </xf>
    <xf numFmtId="4" fontId="7" fillId="0" borderId="10" xfId="0" applyNumberFormat="1" applyFont="1" applyBorder="1" applyAlignment="1">
      <alignment vertical="center"/>
    </xf>
    <xf numFmtId="4" fontId="7" fillId="0" borderId="1" xfId="0" applyNumberFormat="1" applyFont="1" applyBorder="1" applyAlignment="1">
      <alignment vertical="center"/>
    </xf>
    <xf numFmtId="4" fontId="7" fillId="0" borderId="4" xfId="0" applyNumberFormat="1" applyFont="1" applyBorder="1" applyAlignment="1">
      <alignment vertical="center"/>
    </xf>
    <xf numFmtId="4" fontId="7" fillId="0" borderId="11" xfId="0" applyNumberFormat="1" applyFont="1" applyBorder="1" applyAlignment="1">
      <alignment vertical="center"/>
    </xf>
    <xf numFmtId="39" fontId="7" fillId="0" borderId="4" xfId="0" applyNumberFormat="1" applyFont="1" applyBorder="1" applyAlignment="1">
      <alignment horizontal="right"/>
    </xf>
    <xf numFmtId="44" fontId="6" fillId="0" borderId="4" xfId="2" applyFont="1" applyBorder="1" applyAlignment="1"/>
    <xf numFmtId="0" fontId="7" fillId="0" borderId="4" xfId="0" applyFont="1" applyBorder="1" applyAlignment="1">
      <alignment horizontal="left"/>
    </xf>
    <xf numFmtId="4" fontId="7" fillId="0" borderId="9" xfId="0" applyNumberFormat="1" applyFont="1" applyBorder="1"/>
    <xf numFmtId="0" fontId="5" fillId="0" borderId="2" xfId="0" applyFont="1" applyBorder="1"/>
    <xf numFmtId="4" fontId="5" fillId="0" borderId="8" xfId="0" applyNumberFormat="1" applyFont="1" applyBorder="1"/>
    <xf numFmtId="0" fontId="5" fillId="0" borderId="3" xfId="0" applyFont="1" applyBorder="1" applyAlignment="1">
      <alignment horizontal="left"/>
    </xf>
    <xf numFmtId="4" fontId="13" fillId="0" borderId="2" xfId="0" applyNumberFormat="1" applyFont="1" applyBorder="1"/>
    <xf numFmtId="0" fontId="7" fillId="0" borderId="4" xfId="0" applyFont="1" applyBorder="1"/>
    <xf numFmtId="0" fontId="5" fillId="0" borderId="0" xfId="0" applyFont="1"/>
    <xf numFmtId="0" fontId="5" fillId="0" borderId="6" xfId="0" applyFont="1" applyBorder="1" applyAlignment="1">
      <alignment horizontal="left"/>
    </xf>
    <xf numFmtId="164" fontId="7" fillId="0" borderId="2" xfId="0" applyNumberFormat="1" applyFont="1" applyBorder="1"/>
    <xf numFmtId="39" fontId="7" fillId="0" borderId="2" xfId="0" applyNumberFormat="1" applyFont="1" applyBorder="1"/>
    <xf numFmtId="4" fontId="6" fillId="0" borderId="2" xfId="0" applyNumberFormat="1" applyFont="1" applyBorder="1"/>
    <xf numFmtId="4" fontId="8" fillId="0" borderId="2" xfId="0" applyNumberFormat="1" applyFont="1" applyBorder="1"/>
    <xf numFmtId="0" fontId="5" fillId="0" borderId="6" xfId="0" applyFont="1" applyBorder="1" applyAlignment="1">
      <alignment horizontal="center"/>
    </xf>
    <xf numFmtId="17" fontId="5" fillId="0" borderId="6" xfId="0" applyNumberFormat="1" applyFont="1" applyBorder="1" applyAlignment="1">
      <alignment horizontal="center"/>
    </xf>
    <xf numFmtId="0" fontId="7" fillId="0" borderId="6" xfId="0" applyFont="1" applyBorder="1"/>
    <xf numFmtId="40" fontId="7" fillId="0" borderId="2" xfId="0" applyNumberFormat="1" applyFont="1" applyBorder="1"/>
    <xf numFmtId="44" fontId="7" fillId="0" borderId="10" xfId="2" applyFont="1" applyFill="1" applyBorder="1"/>
    <xf numFmtId="44" fontId="7" fillId="0" borderId="9" xfId="2" applyFont="1" applyFill="1" applyBorder="1"/>
    <xf numFmtId="44" fontId="7" fillId="0" borderId="2" xfId="2" applyFont="1" applyFill="1" applyBorder="1"/>
    <xf numFmtId="44" fontId="5" fillId="0" borderId="10" xfId="2" applyFont="1" applyFill="1" applyBorder="1" applyAlignment="1">
      <alignment horizontal="right"/>
    </xf>
    <xf numFmtId="164" fontId="5" fillId="0" borderId="2" xfId="2" applyNumberFormat="1" applyFont="1" applyFill="1" applyBorder="1" applyAlignment="1">
      <alignment horizontal="right"/>
    </xf>
    <xf numFmtId="44" fontId="5" fillId="0" borderId="9" xfId="2" applyFont="1" applyFill="1" applyBorder="1" applyAlignment="1">
      <alignment horizontal="right"/>
    </xf>
    <xf numFmtId="44" fontId="6" fillId="0" borderId="2" xfId="2" applyFont="1" applyFill="1" applyBorder="1"/>
    <xf numFmtId="40" fontId="5" fillId="0" borderId="2" xfId="0" applyNumberFormat="1" applyFont="1" applyBorder="1"/>
    <xf numFmtId="44" fontId="5" fillId="0" borderId="2" xfId="2" applyFont="1" applyFill="1" applyBorder="1" applyAlignment="1">
      <alignment horizontal="right"/>
    </xf>
    <xf numFmtId="39" fontId="5" fillId="0" borderId="6" xfId="0" applyNumberFormat="1" applyFont="1" applyBorder="1" applyAlignment="1">
      <alignment horizontal="right"/>
    </xf>
    <xf numFmtId="0" fontId="5" fillId="0" borderId="6" xfId="0" applyFont="1" applyBorder="1" applyAlignment="1">
      <alignment horizontal="right"/>
    </xf>
    <xf numFmtId="4" fontId="6" fillId="0" borderId="6" xfId="0" applyNumberFormat="1" applyFont="1" applyBorder="1"/>
    <xf numFmtId="39" fontId="7" fillId="0" borderId="6" xfId="0" applyNumberFormat="1" applyFont="1" applyBorder="1" applyAlignment="1">
      <alignment horizontal="right"/>
    </xf>
    <xf numFmtId="4" fontId="6" fillId="0" borderId="10" xfId="0" applyNumberFormat="1" applyFont="1" applyBorder="1"/>
    <xf numFmtId="0" fontId="15" fillId="0" borderId="0" xfId="0" applyFont="1" applyAlignment="1">
      <alignment wrapText="1"/>
    </xf>
    <xf numFmtId="0" fontId="7" fillId="5" borderId="0" xfId="0" applyFont="1" applyFill="1"/>
    <xf numFmtId="0" fontId="5" fillId="0" borderId="0" xfId="0" applyFont="1" applyAlignment="1">
      <alignment wrapText="1"/>
    </xf>
    <xf numFmtId="0" fontId="5" fillId="5" borderId="0" xfId="0" applyFont="1" applyFill="1"/>
    <xf numFmtId="0" fontId="5" fillId="0" borderId="6" xfId="0" applyFont="1" applyBorder="1" applyAlignment="1">
      <alignment horizontal="center" vertical="center"/>
    </xf>
    <xf numFmtId="0" fontId="7" fillId="0" borderId="2" xfId="0" applyFont="1" applyBorder="1" applyAlignment="1">
      <alignment horizontal="center"/>
    </xf>
    <xf numFmtId="40" fontId="7" fillId="0" borderId="10" xfId="0" applyNumberFormat="1" applyFont="1" applyBorder="1"/>
    <xf numFmtId="164" fontId="7" fillId="0" borderId="6" xfId="0" applyNumberFormat="1" applyFont="1" applyBorder="1" applyAlignment="1">
      <alignment horizontal="right"/>
    </xf>
    <xf numFmtId="40" fontId="16" fillId="0" borderId="14" xfId="3" applyNumberFormat="1" applyFont="1" applyFill="1" applyBorder="1" applyAlignment="1">
      <alignment horizontal="center"/>
    </xf>
    <xf numFmtId="4" fontId="7" fillId="0" borderId="2" xfId="0" applyNumberFormat="1" applyFont="1" applyBorder="1" applyAlignment="1">
      <alignment horizontal="left"/>
    </xf>
    <xf numFmtId="40" fontId="16" fillId="0" borderId="14" xfId="4" applyNumberFormat="1" applyFont="1" applyFill="1" applyBorder="1" applyAlignment="1">
      <alignment horizontal="center"/>
    </xf>
    <xf numFmtId="40" fontId="17" fillId="0" borderId="14" xfId="3" applyNumberFormat="1" applyFont="1" applyFill="1" applyBorder="1" applyAlignment="1">
      <alignment horizontal="center"/>
    </xf>
    <xf numFmtId="0" fontId="7" fillId="0" borderId="6" xfId="0" applyFont="1" applyBorder="1" applyAlignment="1">
      <alignment horizontal="left"/>
    </xf>
    <xf numFmtId="40" fontId="7" fillId="0" borderId="6" xfId="0" applyNumberFormat="1" applyFont="1" applyBorder="1"/>
    <xf numFmtId="40" fontId="18" fillId="0" borderId="14" xfId="0" applyNumberFormat="1" applyFont="1" applyBorder="1" applyAlignment="1">
      <alignment horizontal="center"/>
    </xf>
    <xf numFmtId="39" fontId="5" fillId="0" borderId="10" xfId="0" applyNumberFormat="1" applyFont="1" applyBorder="1" applyAlignment="1">
      <alignment horizontal="right"/>
    </xf>
    <xf numFmtId="4" fontId="5" fillId="0" borderId="10" xfId="0" applyNumberFormat="1" applyFont="1" applyBorder="1"/>
    <xf numFmtId="0" fontId="5" fillId="0" borderId="10" xfId="0" applyFont="1" applyBorder="1" applyAlignment="1">
      <alignment horizontal="right"/>
    </xf>
    <xf numFmtId="0" fontId="5" fillId="0" borderId="9" xfId="0" applyFont="1" applyBorder="1" applyAlignment="1">
      <alignment horizontal="right"/>
    </xf>
    <xf numFmtId="39" fontId="7" fillId="0" borderId="9" xfId="0" applyNumberFormat="1" applyFont="1" applyBorder="1" applyAlignment="1">
      <alignment horizontal="right"/>
    </xf>
    <xf numFmtId="39" fontId="7" fillId="0" borderId="10" xfId="0" applyNumberFormat="1" applyFont="1" applyBorder="1" applyAlignment="1">
      <alignment horizontal="right"/>
    </xf>
    <xf numFmtId="4" fontId="7" fillId="0" borderId="0" xfId="0" applyNumberFormat="1" applyFont="1" applyAlignment="1">
      <alignment wrapText="1"/>
    </xf>
    <xf numFmtId="0" fontId="7" fillId="0" borderId="0" xfId="0" applyFont="1" applyAlignment="1">
      <alignment horizontal="center"/>
    </xf>
    <xf numFmtId="4" fontId="7" fillId="0" borderId="11" xfId="0" applyNumberFormat="1" applyFont="1" applyBorder="1"/>
    <xf numFmtId="40" fontId="16" fillId="0" borderId="14" xfId="5" applyNumberFormat="1" applyFont="1" applyFill="1" applyBorder="1" applyAlignment="1">
      <alignment horizontal="center"/>
    </xf>
    <xf numFmtId="0" fontId="7" fillId="5" borderId="0" xfId="0" applyFont="1" applyFill="1" applyAlignment="1">
      <alignment wrapText="1"/>
    </xf>
    <xf numFmtId="39" fontId="7" fillId="0" borderId="3" xfId="0" applyNumberFormat="1" applyFont="1" applyBorder="1" applyAlignment="1">
      <alignment horizontal="right"/>
    </xf>
    <xf numFmtId="4" fontId="6" fillId="0" borderId="16" xfId="0" applyNumberFormat="1" applyFont="1" applyBorder="1"/>
    <xf numFmtId="39" fontId="7" fillId="0" borderId="17" xfId="0" applyNumberFormat="1" applyFont="1" applyBorder="1" applyAlignment="1">
      <alignment horizontal="right"/>
    </xf>
    <xf numFmtId="4" fontId="7" fillId="0" borderId="16" xfId="0" applyNumberFormat="1" applyFont="1" applyBorder="1"/>
    <xf numFmtId="0" fontId="15" fillId="0" borderId="4" xfId="0" applyFont="1" applyBorder="1" applyAlignment="1">
      <alignment horizontal="left"/>
    </xf>
    <xf numFmtId="0" fontId="7" fillId="0" borderId="4" xfId="0" applyFont="1" applyBorder="1" applyAlignment="1">
      <alignment horizontal="center"/>
    </xf>
    <xf numFmtId="40" fontId="7" fillId="0" borderId="4" xfId="0" applyNumberFormat="1" applyFont="1" applyBorder="1"/>
    <xf numFmtId="40" fontId="7" fillId="0" borderId="11" xfId="0" applyNumberFormat="1" applyFont="1" applyBorder="1"/>
    <xf numFmtId="39" fontId="7" fillId="0" borderId="12" xfId="0" applyNumberFormat="1" applyFont="1" applyBorder="1" applyAlignment="1">
      <alignment horizontal="right"/>
    </xf>
    <xf numFmtId="0" fontId="15" fillId="0" borderId="4" xfId="0" applyFont="1" applyBorder="1" applyAlignment="1">
      <alignment horizontal="center"/>
    </xf>
    <xf numFmtId="39" fontId="15" fillId="0" borderId="4" xfId="0" applyNumberFormat="1" applyFont="1" applyBorder="1" applyAlignment="1">
      <alignment horizontal="right"/>
    </xf>
    <xf numFmtId="4" fontId="15" fillId="0" borderId="11" xfId="0" applyNumberFormat="1" applyFont="1" applyBorder="1"/>
    <xf numFmtId="39" fontId="15" fillId="0" borderId="12" xfId="0" applyNumberFormat="1" applyFont="1" applyBorder="1" applyAlignment="1">
      <alignment horizontal="right"/>
    </xf>
    <xf numFmtId="4" fontId="16" fillId="0" borderId="10" xfId="0" applyNumberFormat="1" applyFont="1" applyBorder="1"/>
    <xf numFmtId="4" fontId="16" fillId="0" borderId="2" xfId="0" applyNumberFormat="1" applyFont="1" applyBorder="1"/>
    <xf numFmtId="0" fontId="16" fillId="0" borderId="0" xfId="0" applyFont="1" applyAlignment="1">
      <alignment wrapText="1"/>
    </xf>
    <xf numFmtId="4" fontId="5" fillId="0" borderId="2" xfId="0" applyNumberFormat="1" applyFont="1" applyBorder="1" applyAlignment="1">
      <alignment horizontal="center"/>
    </xf>
    <xf numFmtId="4" fontId="8" fillId="0" borderId="10" xfId="0" applyNumberFormat="1" applyFont="1" applyBorder="1"/>
    <xf numFmtId="39" fontId="5" fillId="0" borderId="9" xfId="0" applyNumberFormat="1" applyFont="1" applyBorder="1" applyAlignment="1">
      <alignment horizontal="right"/>
    </xf>
    <xf numFmtId="40" fontId="5" fillId="0" borderId="2" xfId="0" applyNumberFormat="1" applyFont="1" applyBorder="1" applyAlignment="1">
      <alignment horizontal="center"/>
    </xf>
    <xf numFmtId="40" fontId="8" fillId="0" borderId="10" xfId="0" applyNumberFormat="1" applyFont="1" applyBorder="1"/>
    <xf numFmtId="40" fontId="9" fillId="0" borderId="10" xfId="0" applyNumberFormat="1" applyFont="1" applyBorder="1" applyAlignment="1">
      <alignment horizontal="right"/>
    </xf>
    <xf numFmtId="0" fontId="5" fillId="0" borderId="7" xfId="0" applyFont="1" applyBorder="1" applyAlignment="1">
      <alignment horizontal="right"/>
    </xf>
    <xf numFmtId="0" fontId="7" fillId="0" borderId="8" xfId="0" applyFont="1" applyBorder="1"/>
    <xf numFmtId="0" fontId="5" fillId="0" borderId="0" xfId="0" applyFont="1" applyAlignment="1">
      <alignment horizontal="center" wrapText="1"/>
    </xf>
    <xf numFmtId="39" fontId="6" fillId="0" borderId="2" xfId="0" applyNumberFormat="1" applyFont="1" applyBorder="1"/>
    <xf numFmtId="4" fontId="5" fillId="5" borderId="0" xfId="0" applyNumberFormat="1" applyFont="1" applyFill="1"/>
    <xf numFmtId="0" fontId="7" fillId="0" borderId="0" xfId="0" applyFont="1" applyAlignment="1">
      <alignment horizontal="left"/>
    </xf>
    <xf numFmtId="0" fontId="7" fillId="0" borderId="0" xfId="0" applyFont="1" applyAlignment="1">
      <alignment horizontal="right"/>
    </xf>
    <xf numFmtId="4" fontId="5" fillId="0" borderId="2" xfId="0" applyNumberFormat="1" applyFont="1" applyBorder="1" applyAlignment="1">
      <alignment wrapText="1"/>
    </xf>
    <xf numFmtId="0" fontId="5" fillId="0" borderId="10" xfId="0" applyFont="1" applyBorder="1" applyAlignment="1">
      <alignment wrapText="1"/>
    </xf>
    <xf numFmtId="4" fontId="7" fillId="0" borderId="2" xfId="2" applyNumberFormat="1" applyFont="1" applyBorder="1" applyAlignment="1">
      <alignment horizontal="right"/>
    </xf>
    <xf numFmtId="44" fontId="7" fillId="0" borderId="10" xfId="2" applyFont="1" applyBorder="1" applyAlignment="1">
      <alignment horizontal="right"/>
    </xf>
    <xf numFmtId="0" fontId="7" fillId="5" borderId="0" xfId="0" applyFont="1" applyFill="1" applyAlignment="1">
      <alignment horizontal="center" wrapText="1"/>
    </xf>
    <xf numFmtId="4" fontId="7" fillId="0" borderId="2" xfId="2" applyNumberFormat="1" applyFont="1" applyFill="1" applyBorder="1" applyAlignment="1">
      <alignment horizontal="right"/>
    </xf>
    <xf numFmtId="44" fontId="7" fillId="0" borderId="10" xfId="2" applyFont="1" applyFill="1" applyBorder="1" applyAlignment="1">
      <alignment horizontal="right"/>
    </xf>
    <xf numFmtId="4" fontId="5" fillId="0" borderId="2" xfId="2" applyNumberFormat="1" applyFont="1" applyBorder="1"/>
    <xf numFmtId="44" fontId="5" fillId="0" borderId="10" xfId="2" applyFont="1" applyBorder="1"/>
    <xf numFmtId="166" fontId="7" fillId="0" borderId="2" xfId="0" applyNumberFormat="1" applyFont="1" applyBorder="1" applyAlignment="1">
      <alignment horizontal="left"/>
    </xf>
    <xf numFmtId="4" fontId="7" fillId="10" borderId="2" xfId="2" applyNumberFormat="1" applyFont="1" applyFill="1" applyBorder="1"/>
    <xf numFmtId="44" fontId="7" fillId="10" borderId="10" xfId="2" applyFont="1" applyFill="1" applyBorder="1"/>
    <xf numFmtId="0" fontId="6" fillId="10" borderId="0" xfId="0" applyFont="1" applyFill="1"/>
    <xf numFmtId="4" fontId="7" fillId="0" borderId="2" xfId="2" applyNumberFormat="1" applyFont="1" applyBorder="1"/>
    <xf numFmtId="44" fontId="7" fillId="0" borderId="10" xfId="2" applyFont="1" applyBorder="1"/>
    <xf numFmtId="4" fontId="7" fillId="10" borderId="2" xfId="2" applyNumberFormat="1" applyFont="1" applyFill="1" applyBorder="1" applyAlignment="1">
      <alignment horizontal="right"/>
    </xf>
    <xf numFmtId="44" fontId="7" fillId="10" borderId="10" xfId="2" applyFont="1" applyFill="1" applyBorder="1" applyAlignment="1">
      <alignment horizontal="right"/>
    </xf>
    <xf numFmtId="4" fontId="7" fillId="5" borderId="0" xfId="0" applyNumberFormat="1" applyFont="1" applyFill="1" applyAlignment="1">
      <alignment horizontal="right" wrapText="1"/>
    </xf>
    <xf numFmtId="44" fontId="5" fillId="0" borderId="10" xfId="2" applyFont="1" applyBorder="1" applyAlignment="1">
      <alignment horizontal="right"/>
    </xf>
    <xf numFmtId="40" fontId="7" fillId="0" borderId="2" xfId="0" applyNumberFormat="1" applyFont="1" applyBorder="1" applyAlignment="1">
      <alignment horizontal="center"/>
    </xf>
    <xf numFmtId="39" fontId="6" fillId="0" borderId="2" xfId="0" applyNumberFormat="1" applyFont="1" applyBorder="1" applyAlignment="1">
      <alignment horizontal="right"/>
    </xf>
    <xf numFmtId="40" fontId="6" fillId="0" borderId="2" xfId="0" applyNumberFormat="1" applyFont="1" applyBorder="1" applyAlignment="1">
      <alignment horizontal="center"/>
    </xf>
    <xf numFmtId="44" fontId="7" fillId="0" borderId="2" xfId="2" applyFont="1" applyBorder="1"/>
    <xf numFmtId="0" fontId="16" fillId="0" borderId="2" xfId="0" applyFont="1" applyBorder="1" applyAlignment="1">
      <alignment horizontal="left"/>
    </xf>
    <xf numFmtId="39" fontId="16" fillId="0" borderId="2" xfId="0" applyNumberFormat="1" applyFont="1" applyBorder="1" applyAlignment="1">
      <alignment horizontal="right"/>
    </xf>
    <xf numFmtId="39" fontId="16" fillId="0" borderId="2" xfId="0" applyNumberFormat="1" applyFont="1" applyBorder="1" applyAlignment="1">
      <alignment horizontal="center"/>
    </xf>
    <xf numFmtId="4" fontId="16" fillId="0" borderId="2" xfId="0" applyNumberFormat="1" applyFont="1" applyBorder="1" applyAlignment="1">
      <alignment horizontal="right"/>
    </xf>
    <xf numFmtId="4" fontId="16" fillId="0" borderId="2" xfId="2" applyNumberFormat="1" applyFont="1" applyFill="1" applyBorder="1" applyAlignment="1">
      <alignment horizontal="right"/>
    </xf>
    <xf numFmtId="44" fontId="16" fillId="0" borderId="10" xfId="2" applyFont="1" applyFill="1" applyBorder="1" applyAlignment="1">
      <alignment horizontal="right"/>
    </xf>
    <xf numFmtId="0" fontId="16" fillId="0" borderId="0" xfId="0" applyFont="1" applyAlignment="1">
      <alignment horizontal="center" wrapText="1"/>
    </xf>
    <xf numFmtId="39" fontId="5" fillId="0" borderId="2" xfId="0" applyNumberFormat="1" applyFont="1" applyBorder="1" applyAlignment="1">
      <alignment horizontal="center"/>
    </xf>
    <xf numFmtId="0" fontId="6" fillId="5" borderId="0" xfId="0" applyFont="1" applyFill="1" applyAlignment="1">
      <alignment horizontal="center" wrapText="1"/>
    </xf>
    <xf numFmtId="2" fontId="7" fillId="0" borderId="2" xfId="0" applyNumberFormat="1" applyFont="1" applyBorder="1"/>
    <xf numFmtId="0" fontId="15" fillId="0" borderId="2" xfId="0" applyFont="1" applyBorder="1" applyAlignment="1">
      <alignment horizontal="left"/>
    </xf>
    <xf numFmtId="2" fontId="15" fillId="0" borderId="2" xfId="0" applyNumberFormat="1" applyFont="1" applyBorder="1"/>
    <xf numFmtId="39" fontId="15" fillId="0" borderId="2" xfId="0" applyNumberFormat="1" applyFont="1" applyBorder="1" applyAlignment="1">
      <alignment horizontal="right"/>
    </xf>
    <xf numFmtId="40" fontId="15" fillId="0" borderId="2" xfId="0" applyNumberFormat="1" applyFont="1" applyBorder="1" applyAlignment="1">
      <alignment horizontal="center"/>
    </xf>
    <xf numFmtId="4" fontId="15" fillId="0" borderId="2" xfId="0" applyNumberFormat="1" applyFont="1" applyBorder="1"/>
    <xf numFmtId="4" fontId="7" fillId="0" borderId="0" xfId="0" applyNumberFormat="1" applyFont="1"/>
    <xf numFmtId="4" fontId="5" fillId="0" borderId="4" xfId="0" applyNumberFormat="1" applyFont="1" applyBorder="1"/>
    <xf numFmtId="0" fontId="5" fillId="0" borderId="13" xfId="0" applyFont="1" applyBorder="1" applyAlignment="1">
      <alignment horizontal="center"/>
    </xf>
    <xf numFmtId="0" fontId="5" fillId="0" borderId="1" xfId="0" applyFont="1" applyBorder="1" applyAlignment="1">
      <alignment horizontal="center"/>
    </xf>
    <xf numFmtId="4" fontId="5" fillId="0" borderId="1" xfId="0" applyNumberFormat="1" applyFont="1" applyBorder="1" applyAlignment="1">
      <alignment horizontal="center"/>
    </xf>
    <xf numFmtId="0" fontId="12" fillId="0" borderId="2" xfId="0" applyFont="1" applyBorder="1"/>
    <xf numFmtId="0" fontId="6" fillId="0" borderId="0" xfId="0" applyFont="1" applyAlignment="1">
      <alignment wrapText="1"/>
    </xf>
    <xf numFmtId="0" fontId="7" fillId="0" borderId="10" xfId="0" applyFont="1" applyBorder="1"/>
    <xf numFmtId="0" fontId="7" fillId="0" borderId="9" xfId="0" applyFont="1" applyBorder="1"/>
    <xf numFmtId="0" fontId="7" fillId="9" borderId="0" xfId="0" applyFont="1" applyFill="1"/>
    <xf numFmtId="4" fontId="6" fillId="0" borderId="0" xfId="0" applyNumberFormat="1" applyFont="1"/>
    <xf numFmtId="0" fontId="6" fillId="0" borderId="10" xfId="0" applyFont="1" applyBorder="1"/>
    <xf numFmtId="166" fontId="7" fillId="0" borderId="0" xfId="0" applyNumberFormat="1" applyFont="1" applyAlignment="1">
      <alignment horizontal="right"/>
    </xf>
    <xf numFmtId="4" fontId="6" fillId="0" borderId="2" xfId="2" applyNumberFormat="1" applyFont="1" applyBorder="1"/>
    <xf numFmtId="44" fontId="6" fillId="0" borderId="10" xfId="2" applyFont="1" applyBorder="1"/>
    <xf numFmtId="166" fontId="7" fillId="0" borderId="0" xfId="0" applyNumberFormat="1" applyFont="1" applyAlignment="1">
      <alignment horizontal="left"/>
    </xf>
    <xf numFmtId="4" fontId="7" fillId="10" borderId="0" xfId="0" applyNumberFormat="1" applyFont="1" applyFill="1"/>
    <xf numFmtId="4" fontId="7" fillId="0" borderId="0" xfId="0" applyNumberFormat="1" applyFont="1" applyAlignment="1">
      <alignment horizontal="right"/>
    </xf>
    <xf numFmtId="4" fontId="7" fillId="10" borderId="0" xfId="0" applyNumberFormat="1" applyFont="1" applyFill="1" applyAlignment="1">
      <alignment horizontal="right"/>
    </xf>
    <xf numFmtId="4" fontId="7" fillId="0" borderId="0" xfId="0" applyNumberFormat="1" applyFont="1" applyAlignment="1">
      <alignment horizontal="right" wrapText="1"/>
    </xf>
    <xf numFmtId="0" fontId="19" fillId="5" borderId="0" xfId="0" applyFont="1" applyFill="1" applyAlignment="1">
      <alignment wrapText="1"/>
    </xf>
    <xf numFmtId="4" fontId="19" fillId="0" borderId="2" xfId="2" applyNumberFormat="1" applyFont="1" applyBorder="1" applyAlignment="1">
      <alignment wrapText="1"/>
    </xf>
    <xf numFmtId="44" fontId="19" fillId="0" borderId="10" xfId="2" applyFont="1" applyBorder="1" applyAlignment="1">
      <alignment wrapText="1"/>
    </xf>
    <xf numFmtId="0" fontId="19" fillId="0" borderId="0" xfId="0" applyFont="1" applyAlignment="1">
      <alignment wrapText="1"/>
    </xf>
    <xf numFmtId="166" fontId="7" fillId="0" borderId="0" xfId="0" applyNumberFormat="1" applyFont="1"/>
    <xf numFmtId="0" fontId="16" fillId="0" borderId="0" xfId="0" applyFont="1"/>
    <xf numFmtId="4" fontId="7" fillId="0" borderId="2" xfId="2" applyNumberFormat="1" applyFont="1" applyBorder="1" applyAlignment="1">
      <alignment wrapText="1"/>
    </xf>
    <xf numFmtId="44" fontId="7" fillId="0" borderId="10" xfId="2" applyFont="1" applyBorder="1" applyAlignment="1">
      <alignment wrapText="1"/>
    </xf>
    <xf numFmtId="0" fontId="7" fillId="0" borderId="18" xfId="0" applyFont="1" applyBorder="1" applyAlignment="1">
      <alignment wrapText="1"/>
    </xf>
    <xf numFmtId="0" fontId="7" fillId="5" borderId="18" xfId="0" applyFont="1" applyFill="1" applyBorder="1" applyAlignment="1">
      <alignment wrapText="1"/>
    </xf>
    <xf numFmtId="4" fontId="15" fillId="0" borderId="2" xfId="2" applyNumberFormat="1" applyFont="1" applyBorder="1" applyAlignment="1">
      <alignment wrapText="1"/>
    </xf>
    <xf numFmtId="44" fontId="15" fillId="0" borderId="10" xfId="2" applyFont="1" applyBorder="1" applyAlignment="1">
      <alignment wrapText="1"/>
    </xf>
    <xf numFmtId="0" fontId="15" fillId="0" borderId="18" xfId="0" applyFont="1" applyBorder="1" applyAlignment="1">
      <alignment wrapText="1"/>
    </xf>
    <xf numFmtId="4" fontId="6" fillId="10" borderId="2" xfId="0" applyNumberFormat="1" applyFont="1" applyFill="1" applyBorder="1"/>
    <xf numFmtId="3" fontId="6" fillId="10" borderId="10" xfId="0" applyNumberFormat="1" applyFont="1" applyFill="1" applyBorder="1"/>
    <xf numFmtId="4" fontId="15" fillId="10" borderId="2" xfId="0" applyNumberFormat="1" applyFont="1" applyFill="1" applyBorder="1"/>
    <xf numFmtId="3" fontId="15" fillId="10" borderId="10" xfId="0" applyNumberFormat="1" applyFont="1" applyFill="1" applyBorder="1"/>
    <xf numFmtId="0" fontId="6" fillId="0" borderId="18" xfId="0" applyFont="1" applyBorder="1"/>
    <xf numFmtId="3" fontId="6" fillId="0" borderId="10" xfId="0" applyNumberFormat="1" applyFont="1" applyBorder="1"/>
    <xf numFmtId="165" fontId="6" fillId="5" borderId="0" xfId="0" applyNumberFormat="1" applyFont="1" applyFill="1"/>
    <xf numFmtId="0" fontId="5" fillId="5" borderId="0" xfId="6" applyFont="1" applyFill="1" applyAlignment="1">
      <alignment horizontal="center" wrapText="1"/>
    </xf>
    <xf numFmtId="0" fontId="7" fillId="0" borderId="0" xfId="6" applyFont="1"/>
    <xf numFmtId="0" fontId="5" fillId="0" borderId="2" xfId="6" applyFont="1" applyBorder="1" applyAlignment="1">
      <alignment horizontal="center"/>
    </xf>
    <xf numFmtId="0" fontId="7" fillId="0" borderId="2" xfId="6" applyFont="1" applyBorder="1"/>
    <xf numFmtId="0" fontId="5" fillId="0" borderId="0" xfId="6" applyFont="1" applyAlignment="1">
      <alignment horizontal="center"/>
    </xf>
    <xf numFmtId="0" fontId="7" fillId="5" borderId="2" xfId="6" applyFont="1" applyFill="1" applyBorder="1" applyAlignment="1">
      <alignment wrapText="1"/>
    </xf>
    <xf numFmtId="40" fontId="7" fillId="0" borderId="2" xfId="6" applyNumberFormat="1" applyFont="1" applyBorder="1" applyAlignment="1">
      <alignment horizontal="center"/>
    </xf>
    <xf numFmtId="0" fontId="7" fillId="0" borderId="2" xfId="6" applyFont="1" applyBorder="1" applyAlignment="1">
      <alignment wrapText="1"/>
    </xf>
    <xf numFmtId="0" fontId="7" fillId="0" borderId="0" xfId="6" applyFont="1" applyAlignment="1">
      <alignment wrapText="1"/>
    </xf>
    <xf numFmtId="0" fontId="7" fillId="0" borderId="2" xfId="6" applyFont="1" applyBorder="1" applyAlignment="1">
      <alignment horizontal="left"/>
    </xf>
    <xf numFmtId="164" fontId="7" fillId="0" borderId="2" xfId="6" applyNumberFormat="1" applyFont="1" applyBorder="1" applyAlignment="1">
      <alignment horizontal="right"/>
    </xf>
    <xf numFmtId="3" fontId="7" fillId="0" borderId="2" xfId="6" applyNumberFormat="1" applyFont="1" applyBorder="1" applyAlignment="1">
      <alignment horizontal="right" wrapText="1"/>
    </xf>
    <xf numFmtId="39" fontId="7" fillId="0" borderId="2" xfId="6" applyNumberFormat="1" applyFont="1" applyBorder="1" applyAlignment="1">
      <alignment horizontal="right"/>
    </xf>
    <xf numFmtId="0" fontId="7" fillId="0" borderId="2" xfId="6" applyFont="1" applyBorder="1" applyAlignment="1">
      <alignment horizontal="right" wrapText="1"/>
    </xf>
    <xf numFmtId="0" fontId="15" fillId="0" borderId="2" xfId="6" applyFont="1" applyBorder="1" applyAlignment="1">
      <alignment horizontal="left"/>
    </xf>
    <xf numFmtId="0" fontId="16" fillId="5" borderId="2" xfId="6" applyFont="1" applyFill="1" applyBorder="1" applyAlignment="1">
      <alignment wrapText="1"/>
    </xf>
    <xf numFmtId="39" fontId="5" fillId="0" borderId="2" xfId="6" applyNumberFormat="1" applyFont="1" applyBorder="1" applyAlignment="1">
      <alignment horizontal="right"/>
    </xf>
    <xf numFmtId="40" fontId="5" fillId="0" borderId="0" xfId="6" applyNumberFormat="1" applyFont="1" applyAlignment="1">
      <alignment horizontal="center"/>
    </xf>
    <xf numFmtId="44" fontId="7" fillId="5" borderId="2" xfId="6" applyNumberFormat="1" applyFont="1" applyFill="1" applyBorder="1" applyAlignment="1">
      <alignment horizontal="left" vertical="center" wrapText="1"/>
    </xf>
    <xf numFmtId="0" fontId="5" fillId="0" borderId="2" xfId="6" applyFont="1" applyBorder="1" applyAlignment="1">
      <alignment horizontal="right"/>
    </xf>
    <xf numFmtId="39" fontId="7" fillId="0" borderId="7" xfId="6" applyNumberFormat="1" applyFont="1" applyBorder="1" applyAlignment="1">
      <alignment horizontal="right"/>
    </xf>
    <xf numFmtId="0" fontId="9" fillId="5" borderId="2" xfId="6" applyFont="1" applyFill="1" applyBorder="1" applyAlignment="1">
      <alignment wrapText="1"/>
    </xf>
    <xf numFmtId="39" fontId="7" fillId="0" borderId="0" xfId="6" applyNumberFormat="1" applyFont="1" applyAlignment="1">
      <alignment horizontal="right"/>
    </xf>
    <xf numFmtId="0" fontId="15" fillId="5" borderId="2" xfId="6" applyFont="1" applyFill="1" applyBorder="1" applyAlignment="1">
      <alignment wrapText="1"/>
    </xf>
    <xf numFmtId="4" fontId="7" fillId="0" borderId="2" xfId="6" applyNumberFormat="1" applyFont="1" applyBorder="1" applyAlignment="1">
      <alignment horizontal="right"/>
    </xf>
    <xf numFmtId="3" fontId="16" fillId="0" borderId="2" xfId="7" applyNumberFormat="1" applyFont="1" applyBorder="1" applyAlignment="1">
      <alignment horizontal="right" wrapText="1"/>
    </xf>
    <xf numFmtId="0" fontId="16" fillId="0" borderId="0" xfId="7" applyFont="1" applyBorder="1" applyAlignment="1">
      <alignment wrapText="1"/>
    </xf>
    <xf numFmtId="0" fontId="16" fillId="5" borderId="2" xfId="7" applyFont="1" applyFill="1" applyBorder="1" applyAlignment="1">
      <alignment wrapText="1"/>
    </xf>
    <xf numFmtId="0" fontId="9" fillId="0" borderId="2" xfId="6" applyFont="1" applyBorder="1" applyAlignment="1">
      <alignment horizontal="left"/>
    </xf>
    <xf numFmtId="40" fontId="18" fillId="0" borderId="2" xfId="6" applyNumberFormat="1" applyFont="1" applyBorder="1" applyAlignment="1">
      <alignment horizontal="right"/>
    </xf>
    <xf numFmtId="0" fontId="6" fillId="0" borderId="2" xfId="6" applyFont="1" applyBorder="1" applyAlignment="1">
      <alignment horizontal="left"/>
    </xf>
    <xf numFmtId="0" fontId="7" fillId="0" borderId="2" xfId="6" applyFont="1" applyBorder="1" applyAlignment="1">
      <alignment horizontal="right"/>
    </xf>
    <xf numFmtId="0" fontId="7" fillId="0" borderId="7" xfId="6" applyFont="1" applyBorder="1" applyAlignment="1">
      <alignment horizontal="left"/>
    </xf>
    <xf numFmtId="39" fontId="5" fillId="0" borderId="8" xfId="6" applyNumberFormat="1" applyFont="1" applyBorder="1" applyAlignment="1">
      <alignment horizontal="right"/>
    </xf>
    <xf numFmtId="0" fontId="7" fillId="0" borderId="0" xfId="6" applyFont="1" applyAlignment="1">
      <alignment horizontal="center"/>
    </xf>
    <xf numFmtId="0" fontId="7" fillId="5" borderId="0" xfId="6" applyFont="1" applyFill="1" applyAlignment="1">
      <alignment wrapText="1"/>
    </xf>
    <xf numFmtId="39" fontId="5" fillId="0" borderId="0" xfId="6" applyNumberFormat="1" applyFont="1" applyAlignment="1">
      <alignment horizontal="right"/>
    </xf>
    <xf numFmtId="0" fontId="5" fillId="5" borderId="3" xfId="0" applyFont="1" applyFill="1" applyBorder="1" applyAlignment="1">
      <alignment horizontal="center"/>
    </xf>
    <xf numFmtId="0" fontId="5" fillId="5" borderId="0" xfId="0" applyFont="1" applyFill="1" applyAlignment="1">
      <alignment horizontal="center" wrapText="1"/>
    </xf>
    <xf numFmtId="164" fontId="7" fillId="0" borderId="9" xfId="0" applyNumberFormat="1" applyFont="1" applyBorder="1" applyAlignment="1">
      <alignment horizontal="right"/>
    </xf>
    <xf numFmtId="39" fontId="5" fillId="0" borderId="8" xfId="0" applyNumberFormat="1" applyFont="1" applyBorder="1" applyAlignment="1">
      <alignment horizontal="right"/>
    </xf>
    <xf numFmtId="43" fontId="6" fillId="0" borderId="0" xfId="1" applyFont="1" applyAlignment="1">
      <alignment horizontal="center" vertical="center"/>
    </xf>
    <xf numFmtId="39" fontId="6" fillId="0" borderId="0" xfId="1" applyNumberFormat="1" applyFont="1" applyFill="1" applyAlignment="1">
      <alignment horizontal="left" wrapText="1"/>
    </xf>
    <xf numFmtId="0" fontId="20" fillId="0" borderId="0" xfId="7" applyFont="1" applyAlignment="1">
      <alignment wrapText="1"/>
    </xf>
    <xf numFmtId="0" fontId="6" fillId="6" borderId="0" xfId="0" applyFont="1" applyFill="1"/>
    <xf numFmtId="0" fontId="6" fillId="0" borderId="0" xfId="0" applyFont="1" applyAlignment="1">
      <alignment horizontal="center"/>
    </xf>
    <xf numFmtId="0" fontId="7" fillId="0" borderId="1" xfId="0" applyFont="1" applyBorder="1" applyAlignment="1">
      <alignment horizontal="center"/>
    </xf>
    <xf numFmtId="0" fontId="6" fillId="0" borderId="6" xfId="0" applyFont="1" applyBorder="1"/>
    <xf numFmtId="40" fontId="19" fillId="0" borderId="14" xfId="0" applyNumberFormat="1" applyFont="1" applyBorder="1"/>
    <xf numFmtId="40" fontId="16" fillId="0" borderId="14" xfId="0" applyNumberFormat="1" applyFont="1" applyBorder="1"/>
    <xf numFmtId="40" fontId="21" fillId="0" borderId="14" xfId="0" applyNumberFormat="1" applyFont="1" applyBorder="1"/>
    <xf numFmtId="0" fontId="8" fillId="0" borderId="0" xfId="0" applyFont="1"/>
    <xf numFmtId="40" fontId="21" fillId="8" borderId="14" xfId="0" applyNumberFormat="1" applyFont="1" applyFill="1" applyBorder="1"/>
    <xf numFmtId="40" fontId="5" fillId="0" borderId="6" xfId="0" applyNumberFormat="1" applyFont="1" applyBorder="1"/>
    <xf numFmtId="0" fontId="6" fillId="0" borderId="1" xfId="0" applyFont="1" applyBorder="1"/>
    <xf numFmtId="0" fontId="6" fillId="5" borderId="0" xfId="0" applyFont="1" applyFill="1" applyAlignment="1">
      <alignment wrapText="1"/>
    </xf>
    <xf numFmtId="1" fontId="5" fillId="5" borderId="0" xfId="0" applyNumberFormat="1" applyFont="1" applyFill="1" applyAlignment="1">
      <alignment horizontal="left"/>
    </xf>
    <xf numFmtId="0" fontId="8" fillId="5" borderId="0" xfId="0" applyFont="1" applyFill="1" applyAlignment="1">
      <alignment wrapText="1"/>
    </xf>
    <xf numFmtId="0" fontId="8" fillId="0" borderId="0" xfId="0" applyFont="1" applyAlignment="1">
      <alignment wrapText="1"/>
    </xf>
    <xf numFmtId="1" fontId="6" fillId="0" borderId="2" xfId="0" applyNumberFormat="1" applyFont="1" applyBorder="1" applyAlignment="1">
      <alignment horizontal="left"/>
    </xf>
    <xf numFmtId="4" fontId="6" fillId="0" borderId="2" xfId="0" applyNumberFormat="1" applyFont="1" applyBorder="1" applyAlignment="1">
      <alignment horizontal="right"/>
    </xf>
    <xf numFmtId="1" fontId="7" fillId="0" borderId="7" xfId="0" applyNumberFormat="1" applyFont="1" applyBorder="1" applyAlignment="1">
      <alignment horizontal="left"/>
    </xf>
    <xf numFmtId="1" fontId="6" fillId="0" borderId="0" xfId="0" applyNumberFormat="1" applyFont="1" applyAlignment="1">
      <alignment horizontal="left"/>
    </xf>
    <xf numFmtId="4" fontId="6" fillId="0" borderId="2" xfId="0" applyNumberFormat="1" applyFont="1" applyBorder="1" applyAlignment="1">
      <alignment horizontal="left"/>
    </xf>
    <xf numFmtId="4" fontId="7" fillId="0" borderId="2" xfId="0" applyNumberFormat="1" applyFont="1" applyBorder="1" applyAlignment="1">
      <alignment horizontal="right" wrapText="1"/>
    </xf>
    <xf numFmtId="1" fontId="7" fillId="0" borderId="0" xfId="0" applyNumberFormat="1" applyFont="1" applyAlignment="1">
      <alignment horizontal="left" wrapText="1"/>
    </xf>
    <xf numFmtId="39" fontId="5" fillId="0" borderId="15" xfId="0" applyNumberFormat="1" applyFont="1" applyBorder="1" applyAlignment="1">
      <alignment horizontal="right"/>
    </xf>
    <xf numFmtId="39" fontId="7" fillId="0" borderId="13" xfId="0" applyNumberFormat="1" applyFont="1" applyBorder="1" applyAlignment="1">
      <alignment horizontal="right"/>
    </xf>
    <xf numFmtId="0" fontId="6" fillId="0" borderId="0" xfId="0" applyFont="1" applyAlignment="1">
      <alignment horizontal="left" wrapText="1"/>
    </xf>
    <xf numFmtId="0" fontId="5" fillId="5" borderId="2" xfId="0" applyFont="1" applyFill="1" applyBorder="1" applyAlignment="1">
      <alignment horizontal="left" wrapText="1"/>
    </xf>
    <xf numFmtId="0" fontId="5" fillId="6" borderId="2" xfId="0" applyFont="1" applyFill="1" applyBorder="1"/>
    <xf numFmtId="0" fontId="5" fillId="0" borderId="2" xfId="0" applyFont="1" applyBorder="1" applyAlignment="1">
      <alignment wrapText="1"/>
    </xf>
    <xf numFmtId="0" fontId="5" fillId="0" borderId="6" xfId="0" applyFont="1" applyBorder="1"/>
    <xf numFmtId="0" fontId="5" fillId="0" borderId="10" xfId="0" applyFont="1" applyBorder="1" applyAlignment="1">
      <alignment horizontal="center"/>
    </xf>
    <xf numFmtId="0" fontId="5" fillId="6" borderId="2" xfId="0" applyFont="1" applyFill="1" applyBorder="1" applyAlignment="1">
      <alignment wrapText="1"/>
    </xf>
    <xf numFmtId="0" fontId="5" fillId="0" borderId="10" xfId="0" applyFont="1" applyBorder="1"/>
    <xf numFmtId="4" fontId="7" fillId="0" borderId="2" xfId="0" applyNumberFormat="1" applyFont="1" applyBorder="1" applyAlignment="1">
      <alignment horizontal="left" wrapText="1"/>
    </xf>
    <xf numFmtId="4" fontId="7" fillId="6" borderId="2" xfId="0" applyNumberFormat="1" applyFont="1" applyFill="1" applyBorder="1" applyAlignment="1">
      <alignment horizontal="left" wrapText="1"/>
    </xf>
    <xf numFmtId="4" fontId="15" fillId="0" borderId="10" xfId="0" applyNumberFormat="1" applyFont="1" applyBorder="1"/>
    <xf numFmtId="4" fontId="15" fillId="5" borderId="10" xfId="0" applyNumberFormat="1" applyFont="1" applyFill="1" applyBorder="1"/>
    <xf numFmtId="0" fontId="7" fillId="6" borderId="2" xfId="0" applyFont="1" applyFill="1" applyBorder="1" applyAlignment="1">
      <alignment horizontal="left" wrapText="1"/>
    </xf>
    <xf numFmtId="0" fontId="5" fillId="0" borderId="0" xfId="0" applyFont="1" applyAlignment="1">
      <alignment horizontal="left"/>
    </xf>
    <xf numFmtId="0" fontId="5" fillId="0" borderId="2" xfId="0" applyFont="1" applyBorder="1" applyAlignment="1">
      <alignment horizontal="left" wrapText="1"/>
    </xf>
    <xf numFmtId="0" fontId="7" fillId="6" borderId="2" xfId="0" applyFont="1" applyFill="1" applyBorder="1" applyAlignment="1">
      <alignment wrapText="1"/>
    </xf>
    <xf numFmtId="0" fontId="5" fillId="0" borderId="10" xfId="0" applyFont="1" applyBorder="1" applyAlignment="1">
      <alignment horizontal="left"/>
    </xf>
    <xf numFmtId="0" fontId="5" fillId="0" borderId="10" xfId="0" applyFont="1" applyBorder="1" applyAlignment="1">
      <alignment horizontal="left" wrapText="1"/>
    </xf>
    <xf numFmtId="4" fontId="7" fillId="0" borderId="10" xfId="0" applyNumberFormat="1" applyFont="1" applyBorder="1" applyAlignment="1">
      <alignment wrapText="1"/>
    </xf>
    <xf numFmtId="3" fontId="7" fillId="0" borderId="0" xfId="0" applyNumberFormat="1" applyFont="1" applyAlignment="1">
      <alignment wrapText="1"/>
    </xf>
    <xf numFmtId="40" fontId="5" fillId="0" borderId="10" xfId="0" applyNumberFormat="1" applyFont="1" applyBorder="1"/>
    <xf numFmtId="0" fontId="7" fillId="0" borderId="0" xfId="0" applyFont="1" applyAlignment="1">
      <alignment horizontal="left" wrapText="1"/>
    </xf>
    <xf numFmtId="0" fontId="5" fillId="0" borderId="0" xfId="0" applyFont="1" applyAlignment="1">
      <alignment horizontal="right"/>
    </xf>
    <xf numFmtId="39" fontId="5" fillId="0" borderId="2" xfId="1" applyNumberFormat="1" applyFont="1" applyBorder="1" applyAlignment="1">
      <alignment horizontal="right"/>
    </xf>
    <xf numFmtId="40" fontId="5" fillId="0" borderId="8" xfId="0" applyNumberFormat="1" applyFont="1" applyBorder="1" applyAlignment="1">
      <alignment horizontal="right"/>
    </xf>
    <xf numFmtId="40" fontId="5" fillId="0" borderId="0" xfId="0" applyNumberFormat="1" applyFont="1" applyAlignment="1">
      <alignment horizontal="right"/>
    </xf>
    <xf numFmtId="0" fontId="5" fillId="5" borderId="0" xfId="0" applyFont="1" applyFill="1" applyAlignment="1">
      <alignment wrapText="1"/>
    </xf>
    <xf numFmtId="0" fontId="7" fillId="0" borderId="1" xfId="0" applyFont="1" applyBorder="1" applyAlignment="1">
      <alignment wrapText="1"/>
    </xf>
    <xf numFmtId="44" fontId="7" fillId="0" borderId="2" xfId="2" applyFont="1" applyBorder="1" applyAlignment="1">
      <alignment horizontal="right"/>
    </xf>
    <xf numFmtId="44" fontId="6" fillId="0" borderId="2" xfId="2" applyFont="1" applyBorder="1" applyAlignment="1">
      <alignment horizontal="right"/>
    </xf>
    <xf numFmtId="44" fontId="7" fillId="0" borderId="6" xfId="2" applyFont="1" applyBorder="1" applyAlignment="1">
      <alignment horizontal="right"/>
    </xf>
    <xf numFmtId="49" fontId="7" fillId="5" borderId="0" xfId="0" applyNumberFormat="1" applyFont="1" applyFill="1" applyAlignment="1">
      <alignment wrapText="1"/>
    </xf>
    <xf numFmtId="44" fontId="5" fillId="0" borderId="2" xfId="2" applyFont="1" applyBorder="1" applyAlignment="1">
      <alignment horizontal="right"/>
    </xf>
    <xf numFmtId="44" fontId="5" fillId="0" borderId="6" xfId="2" applyFont="1" applyBorder="1" applyAlignment="1">
      <alignment horizontal="right"/>
    </xf>
    <xf numFmtId="0" fontId="0" fillId="0" borderId="0" xfId="0" applyAlignment="1">
      <alignment horizontal="right" vertical="center"/>
    </xf>
    <xf numFmtId="8" fontId="0" fillId="0" borderId="0" xfId="0" applyNumberFormat="1"/>
    <xf numFmtId="0" fontId="12" fillId="0" borderId="0" xfId="0" applyFont="1" applyAlignment="1">
      <alignment horizontal="left"/>
    </xf>
    <xf numFmtId="165" fontId="12" fillId="0" borderId="0" xfId="0" applyNumberFormat="1" applyFont="1"/>
    <xf numFmtId="0" fontId="12" fillId="11" borderId="2" xfId="0" applyFont="1" applyFill="1" applyBorder="1" applyAlignment="1">
      <alignment horizontal="left"/>
    </xf>
    <xf numFmtId="165" fontId="14" fillId="11" borderId="2" xfId="0" applyNumberFormat="1" applyFont="1" applyFill="1" applyBorder="1"/>
    <xf numFmtId="0" fontId="14" fillId="11" borderId="2" xfId="0" applyFont="1" applyFill="1" applyBorder="1"/>
    <xf numFmtId="0" fontId="12" fillId="0" borderId="2" xfId="0" applyFont="1" applyBorder="1" applyAlignment="1">
      <alignment horizontal="left"/>
    </xf>
    <xf numFmtId="165" fontId="12" fillId="0" borderId="2" xfId="0" applyNumberFormat="1" applyFont="1" applyBorder="1"/>
    <xf numFmtId="0" fontId="12" fillId="0" borderId="2" xfId="0" applyFont="1" applyBorder="1" applyAlignment="1">
      <alignment wrapText="1"/>
    </xf>
    <xf numFmtId="0" fontId="14" fillId="0" borderId="2" xfId="0" applyFont="1" applyBorder="1"/>
    <xf numFmtId="0" fontId="12" fillId="11" borderId="2" xfId="0" applyFont="1" applyFill="1" applyBorder="1" applyAlignment="1">
      <alignment horizontal="left" vertical="center" wrapText="1"/>
    </xf>
    <xf numFmtId="165" fontId="14" fillId="11" borderId="2" xfId="0" applyNumberFormat="1" applyFont="1" applyFill="1" applyBorder="1" applyAlignment="1">
      <alignment vertical="center"/>
    </xf>
    <xf numFmtId="0" fontId="14" fillId="11" borderId="2" xfId="0" applyFont="1" applyFill="1" applyBorder="1" applyAlignment="1">
      <alignment vertical="center"/>
    </xf>
    <xf numFmtId="0" fontId="12" fillId="0" borderId="2" xfId="0" applyFont="1" applyBorder="1" applyAlignment="1">
      <alignment horizontal="left" vertical="center" wrapText="1"/>
    </xf>
    <xf numFmtId="165" fontId="12" fillId="0" borderId="2" xfId="0" applyNumberFormat="1" applyFont="1" applyBorder="1" applyAlignment="1">
      <alignment vertical="center"/>
    </xf>
    <xf numFmtId="0" fontId="12" fillId="0" borderId="2" xfId="0" applyFont="1" applyBorder="1" applyAlignment="1">
      <alignment vertical="center"/>
    </xf>
    <xf numFmtId="0" fontId="12" fillId="0" borderId="4" xfId="0" applyFont="1" applyBorder="1" applyAlignment="1">
      <alignment horizontal="center"/>
    </xf>
    <xf numFmtId="165" fontId="14" fillId="0" borderId="11" xfId="0" applyNumberFormat="1" applyFont="1" applyBorder="1" applyAlignment="1">
      <alignment horizontal="center"/>
    </xf>
    <xf numFmtId="165" fontId="14" fillId="0" borderId="4" xfId="0" applyNumberFormat="1" applyFont="1" applyBorder="1" applyAlignment="1">
      <alignment horizontal="center"/>
    </xf>
    <xf numFmtId="0" fontId="14" fillId="0" borderId="11" xfId="0" applyFont="1" applyBorder="1" applyAlignment="1">
      <alignment horizontal="center"/>
    </xf>
    <xf numFmtId="0" fontId="14" fillId="0" borderId="4" xfId="0" applyFont="1" applyBorder="1" applyAlignment="1">
      <alignment horizontal="center"/>
    </xf>
    <xf numFmtId="0" fontId="14" fillId="0" borderId="11" xfId="0" applyFont="1" applyBorder="1" applyAlignment="1">
      <alignment horizontal="left"/>
    </xf>
    <xf numFmtId="0" fontId="12" fillId="0" borderId="3" xfId="0" applyFont="1" applyBorder="1" applyAlignment="1">
      <alignment horizontal="center"/>
    </xf>
    <xf numFmtId="165" fontId="12" fillId="0" borderId="8" xfId="0" applyNumberFormat="1" applyFont="1" applyBorder="1" applyAlignment="1">
      <alignment horizontal="center"/>
    </xf>
    <xf numFmtId="165" fontId="12" fillId="0" borderId="3" xfId="0" applyNumberFormat="1" applyFont="1" applyBorder="1" applyAlignment="1">
      <alignment horizontal="center"/>
    </xf>
    <xf numFmtId="0" fontId="14" fillId="0" borderId="8" xfId="0" applyFont="1" applyBorder="1" applyAlignment="1">
      <alignment horizontal="center"/>
    </xf>
    <xf numFmtId="0" fontId="12" fillId="0" borderId="8" xfId="0" applyFont="1" applyBorder="1" applyAlignment="1">
      <alignment horizontal="center"/>
    </xf>
    <xf numFmtId="0" fontId="0" fillId="5" borderId="0" xfId="0" applyFill="1"/>
    <xf numFmtId="0" fontId="0" fillId="0" borderId="0" xfId="0" applyAlignment="1">
      <alignment wrapText="1"/>
    </xf>
    <xf numFmtId="40" fontId="0" fillId="0" borderId="0" xfId="0" applyNumberFormat="1"/>
    <xf numFmtId="0" fontId="24" fillId="0" borderId="8" xfId="0" applyFont="1" applyBorder="1" applyAlignment="1">
      <alignment horizontal="right"/>
    </xf>
    <xf numFmtId="0" fontId="24" fillId="0" borderId="0" xfId="0" applyFont="1" applyAlignment="1">
      <alignment horizontal="left"/>
    </xf>
    <xf numFmtId="4" fontId="0" fillId="0" borderId="0" xfId="0" applyNumberFormat="1" applyAlignment="1">
      <alignment wrapText="1"/>
    </xf>
    <xf numFmtId="0" fontId="0" fillId="5" borderId="0" xfId="0" applyFill="1" applyAlignment="1">
      <alignment wrapText="1"/>
    </xf>
    <xf numFmtId="0" fontId="26" fillId="0" borderId="0" xfId="0" applyFont="1" applyAlignment="1">
      <alignment wrapText="1"/>
    </xf>
    <xf numFmtId="0" fontId="25" fillId="0" borderId="6" xfId="0" applyFont="1" applyBorder="1" applyAlignment="1">
      <alignment horizontal="left"/>
    </xf>
    <xf numFmtId="40" fontId="0" fillId="0" borderId="0" xfId="0" applyNumberFormat="1" applyAlignment="1">
      <alignment wrapText="1"/>
    </xf>
    <xf numFmtId="0" fontId="27" fillId="0" borderId="0" xfId="0" applyFont="1" applyAlignment="1">
      <alignment wrapText="1"/>
    </xf>
    <xf numFmtId="0" fontId="0" fillId="0" borderId="2" xfId="0" applyBorder="1"/>
    <xf numFmtId="0" fontId="0" fillId="0" borderId="6" xfId="0" applyBorder="1"/>
    <xf numFmtId="0" fontId="24" fillId="0" borderId="6" xfId="0" applyFont="1" applyBorder="1" applyAlignment="1">
      <alignment horizontal="left"/>
    </xf>
    <xf numFmtId="0" fontId="24" fillId="0" borderId="10" xfId="0" applyFont="1" applyBorder="1" applyAlignment="1">
      <alignment horizontal="left"/>
    </xf>
    <xf numFmtId="0" fontId="0" fillId="0" borderId="0" xfId="0" applyAlignment="1">
      <alignment horizontal="left" wrapText="1"/>
    </xf>
    <xf numFmtId="0" fontId="26" fillId="0" borderId="0" xfId="0" applyFont="1"/>
    <xf numFmtId="0" fontId="0" fillId="0" borderId="8" xfId="0" applyBorder="1"/>
    <xf numFmtId="0" fontId="29" fillId="0" borderId="1" xfId="0" applyFont="1" applyBorder="1" applyAlignment="1">
      <alignment horizontal="center"/>
    </xf>
    <xf numFmtId="0" fontId="29" fillId="0" borderId="0" xfId="0" applyFont="1" applyAlignment="1">
      <alignment horizontal="center"/>
    </xf>
    <xf numFmtId="0" fontId="0" fillId="0" borderId="0" xfId="0" applyAlignment="1">
      <alignment horizontal="center"/>
    </xf>
    <xf numFmtId="17" fontId="0" fillId="0" borderId="0" xfId="0" applyNumberFormat="1" applyAlignment="1">
      <alignment horizontal="center"/>
    </xf>
    <xf numFmtId="0" fontId="23" fillId="5" borderId="0" xfId="0" applyFont="1" applyFill="1"/>
    <xf numFmtId="0" fontId="23" fillId="5" borderId="0" xfId="0" applyFont="1" applyFill="1" applyAlignment="1">
      <alignment horizontal="center" wrapText="1"/>
    </xf>
    <xf numFmtId="0" fontId="24" fillId="5" borderId="0" xfId="0" applyFont="1" applyFill="1" applyAlignment="1">
      <alignment horizontal="center"/>
    </xf>
    <xf numFmtId="167" fontId="7" fillId="0" borderId="6" xfId="0" applyNumberFormat="1" applyFont="1" applyBorder="1" applyAlignment="1">
      <alignment horizontal="right"/>
    </xf>
    <xf numFmtId="167" fontId="25" fillId="0" borderId="10" xfId="0" applyNumberFormat="1" applyFont="1" applyBorder="1" applyAlignment="1">
      <alignment horizontal="right"/>
    </xf>
    <xf numFmtId="167" fontId="7" fillId="0" borderId="2" xfId="2" applyNumberFormat="1" applyFont="1" applyBorder="1" applyAlignment="1"/>
    <xf numFmtId="167" fontId="25" fillId="0" borderId="2" xfId="0" applyNumberFormat="1" applyFont="1" applyBorder="1" applyAlignment="1">
      <alignment horizontal="right"/>
    </xf>
    <xf numFmtId="167" fontId="25" fillId="0" borderId="2" xfId="0" applyNumberFormat="1" applyFont="1" applyBorder="1" applyAlignment="1">
      <alignment horizontal="center"/>
    </xf>
    <xf numFmtId="167" fontId="28" fillId="0" borderId="2" xfId="0" applyNumberFormat="1" applyFont="1" applyBorder="1" applyAlignment="1">
      <alignment horizontal="center"/>
    </xf>
    <xf numFmtId="167" fontId="0" fillId="0" borderId="2" xfId="0" applyNumberFormat="1" applyBorder="1"/>
    <xf numFmtId="167" fontId="5" fillId="0" borderId="6" xfId="0" applyNumberFormat="1" applyFont="1" applyBorder="1" applyAlignment="1">
      <alignment horizontal="right"/>
    </xf>
    <xf numFmtId="167" fontId="24" fillId="0" borderId="10" xfId="0" applyNumberFormat="1" applyFont="1" applyBorder="1" applyAlignment="1">
      <alignment horizontal="right"/>
    </xf>
    <xf numFmtId="167" fontId="5" fillId="0" borderId="2" xfId="0" applyNumberFormat="1" applyFont="1" applyBorder="1" applyAlignment="1">
      <alignment horizontal="right"/>
    </xf>
    <xf numFmtId="167" fontId="24" fillId="0" borderId="2" xfId="0" applyNumberFormat="1" applyFont="1" applyBorder="1" applyAlignment="1">
      <alignment horizontal="right"/>
    </xf>
    <xf numFmtId="167" fontId="24" fillId="0" borderId="2" xfId="0" applyNumberFormat="1" applyFont="1" applyBorder="1" applyAlignment="1">
      <alignment horizontal="center"/>
    </xf>
    <xf numFmtId="167" fontId="0" fillId="0" borderId="6" xfId="0" applyNumberFormat="1" applyBorder="1"/>
    <xf numFmtId="167" fontId="7" fillId="0" borderId="10" xfId="0" applyNumberFormat="1" applyFont="1" applyBorder="1" applyAlignment="1">
      <alignment horizontal="right"/>
    </xf>
    <xf numFmtId="167" fontId="7" fillId="0" borderId="2" xfId="0" applyNumberFormat="1" applyFont="1" applyBorder="1"/>
    <xf numFmtId="167" fontId="0" fillId="0" borderId="0" xfId="0" applyNumberFormat="1"/>
    <xf numFmtId="167" fontId="25" fillId="12" borderId="2" xfId="0" applyNumberFormat="1" applyFont="1" applyFill="1" applyBorder="1" applyAlignment="1">
      <alignment horizontal="center"/>
    </xf>
    <xf numFmtId="167" fontId="24" fillId="0" borderId="4" xfId="0" applyNumberFormat="1" applyFont="1" applyBorder="1" applyAlignment="1">
      <alignment horizontal="right"/>
    </xf>
    <xf numFmtId="167" fontId="24" fillId="0" borderId="4" xfId="0" applyNumberFormat="1" applyFont="1" applyBorder="1" applyAlignment="1">
      <alignment horizontal="center"/>
    </xf>
    <xf numFmtId="167" fontId="24" fillId="0" borderId="2" xfId="1" applyNumberFormat="1" applyFont="1" applyBorder="1" applyAlignment="1">
      <alignment horizontal="right"/>
    </xf>
    <xf numFmtId="167" fontId="25" fillId="0" borderId="2" xfId="0" applyNumberFormat="1" applyFont="1" applyBorder="1"/>
    <xf numFmtId="167" fontId="24" fillId="0" borderId="3" xfId="0" applyNumberFormat="1" applyFont="1" applyBorder="1" applyAlignment="1">
      <alignment horizontal="right"/>
    </xf>
    <xf numFmtId="0" fontId="0" fillId="0" borderId="0" xfId="0" applyAlignment="1">
      <alignment horizontal="center" vertical="center"/>
    </xf>
    <xf numFmtId="168" fontId="0" fillId="0" borderId="0" xfId="8" applyNumberFormat="1" applyFont="1" applyAlignment="1">
      <alignment horizontal="center"/>
    </xf>
    <xf numFmtId="164" fontId="24" fillId="0" borderId="4" xfId="0" applyNumberFormat="1" applyFont="1" applyBorder="1" applyAlignment="1">
      <alignment horizontal="center"/>
    </xf>
    <xf numFmtId="0" fontId="23" fillId="0" borderId="0" xfId="0" applyFont="1" applyAlignment="1">
      <alignment horizontal="center"/>
    </xf>
    <xf numFmtId="43" fontId="23" fillId="0" borderId="0" xfId="0" applyNumberFormat="1" applyFont="1"/>
    <xf numFmtId="0" fontId="5" fillId="5" borderId="0" xfId="0" applyFont="1" applyFill="1" applyAlignment="1">
      <alignment horizontal="center"/>
    </xf>
    <xf numFmtId="0" fontId="5" fillId="0" borderId="2" xfId="0" applyFont="1" applyBorder="1" applyAlignment="1">
      <alignment horizontal="center"/>
    </xf>
    <xf numFmtId="0" fontId="6" fillId="0" borderId="2" xfId="0" applyFont="1" applyBorder="1"/>
    <xf numFmtId="0" fontId="5" fillId="0" borderId="2" xfId="0" applyFont="1" applyBorder="1" applyAlignment="1">
      <alignment horizontal="left"/>
    </xf>
    <xf numFmtId="0" fontId="5" fillId="0" borderId="0" xfId="0" applyFont="1" applyAlignment="1">
      <alignment horizontal="left"/>
    </xf>
    <xf numFmtId="0" fontId="7" fillId="0" borderId="0" xfId="0" applyFont="1"/>
    <xf numFmtId="0" fontId="5" fillId="0" borderId="6" xfId="0" applyFont="1" applyBorder="1" applyAlignment="1">
      <alignment horizontal="left"/>
    </xf>
    <xf numFmtId="0" fontId="7" fillId="0" borderId="6" xfId="0" applyFont="1" applyBorder="1"/>
    <xf numFmtId="0" fontId="24" fillId="5" borderId="0" xfId="0" applyFont="1" applyFill="1" applyAlignment="1">
      <alignment horizontal="center"/>
    </xf>
    <xf numFmtId="0" fontId="0" fillId="0" borderId="6" xfId="0" applyBorder="1"/>
    <xf numFmtId="0" fontId="0" fillId="0" borderId="8" xfId="0" applyBorder="1"/>
    <xf numFmtId="0" fontId="5" fillId="5" borderId="6" xfId="0" applyFont="1" applyFill="1" applyBorder="1" applyAlignment="1">
      <alignment horizontal="center"/>
    </xf>
    <xf numFmtId="0" fontId="5" fillId="5" borderId="8" xfId="0" applyFont="1" applyFill="1" applyBorder="1" applyAlignment="1">
      <alignment horizontal="center"/>
    </xf>
    <xf numFmtId="0" fontId="5" fillId="0" borderId="8" xfId="0" applyFont="1" applyBorder="1" applyAlignment="1">
      <alignment horizontal="center" wrapText="1"/>
    </xf>
    <xf numFmtId="0" fontId="5" fillId="0" borderId="0" xfId="0" applyFont="1" applyAlignment="1">
      <alignment horizontal="center" wrapText="1"/>
    </xf>
    <xf numFmtId="0" fontId="5" fillId="0" borderId="6" xfId="0" applyFont="1" applyBorder="1"/>
    <xf numFmtId="0" fontId="5" fillId="0" borderId="2" xfId="0" applyFont="1" applyBorder="1"/>
    <xf numFmtId="0" fontId="6" fillId="0" borderId="6" xfId="0" applyFont="1" applyBorder="1"/>
    <xf numFmtId="0" fontId="7" fillId="0" borderId="0" xfId="0" applyFont="1" applyAlignment="1">
      <alignment horizontal="left" vertical="center" wrapText="1"/>
    </xf>
    <xf numFmtId="0" fontId="5" fillId="5" borderId="1" xfId="6" applyFont="1" applyFill="1" applyBorder="1" applyAlignment="1">
      <alignment horizontal="center"/>
    </xf>
    <xf numFmtId="0" fontId="5" fillId="0" borderId="2" xfId="6" applyFont="1" applyBorder="1" applyAlignment="1">
      <alignment horizontal="left"/>
    </xf>
    <xf numFmtId="0" fontId="7" fillId="0" borderId="2" xfId="6" applyFont="1" applyBorder="1"/>
    <xf numFmtId="0" fontId="7" fillId="5" borderId="0" xfId="0" applyFont="1" applyFill="1" applyAlignment="1">
      <alignment horizontal="center"/>
    </xf>
    <xf numFmtId="0" fontId="7" fillId="0" borderId="2" xfId="0" applyFont="1" applyBorder="1"/>
    <xf numFmtId="0" fontId="5" fillId="5" borderId="1" xfId="0" applyFont="1" applyFill="1" applyBorder="1" applyAlignment="1">
      <alignment horizontal="center"/>
    </xf>
    <xf numFmtId="0" fontId="14" fillId="5" borderId="0" xfId="0" applyFont="1" applyFill="1" applyAlignment="1">
      <alignment horizontal="center"/>
    </xf>
    <xf numFmtId="165" fontId="14" fillId="0" borderId="3" xfId="0" applyNumberFormat="1" applyFont="1" applyBorder="1" applyAlignment="1">
      <alignment horizontal="center" wrapText="1"/>
    </xf>
    <xf numFmtId="165" fontId="14" fillId="0" borderId="4" xfId="0" applyNumberFormat="1" applyFont="1" applyBorder="1" applyAlignment="1">
      <alignment horizontal="center" wrapText="1"/>
    </xf>
    <xf numFmtId="0" fontId="23" fillId="0" borderId="0" xfId="0" applyFont="1" applyAlignment="1">
      <alignment horizontal="center"/>
    </xf>
    <xf numFmtId="43" fontId="0" fillId="0" borderId="0" xfId="0" applyNumberFormat="1" applyAlignment="1">
      <alignment horizontal="center"/>
    </xf>
  </cellXfs>
  <cellStyles count="9">
    <cellStyle name="Bad" xfId="4" builtinId="27"/>
    <cellStyle name="Comma" xfId="1" builtinId="3"/>
    <cellStyle name="Currency" xfId="2" builtinId="4"/>
    <cellStyle name="Good" xfId="3" builtinId="26"/>
    <cellStyle name="Hyperlink" xfId="7" builtinId="8"/>
    <cellStyle name="Neutral" xfId="5" builtinId="28"/>
    <cellStyle name="Normal" xfId="0" builtinId="0"/>
    <cellStyle name="Normal 2" xfId="6" xr:uid="{CA42A160-A064-46D6-B92E-30F40E2CEBF4}"/>
    <cellStyle name="Percent" xfId="8" builtinId="5"/>
  </cellStyles>
  <dxfs count="5">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G:\NARPM\Annual%20Budgets\2025\180%202025%20Ops%20&amp;%20Admin%20budget.xlsx" TargetMode="External"/><Relationship Id="rId1" Type="http://schemas.openxmlformats.org/officeDocument/2006/relationships/externalLinkPath" Target="file:///G:\NARPM\Annual%20Budgets\2025\180%202025%20Ops%20&amp;%20Admin%20budget.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G:\NARPM\Annual%20Budgets\2026\2026%20NARPM%20Budget%20Draft.xlsx" TargetMode="External"/><Relationship Id="rId1" Type="http://schemas.openxmlformats.org/officeDocument/2006/relationships/externalLinkPath" Target="file:///G:\NARPM\Annual%20Budgets\2026\2026%20NARPM%20Budget%20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PARTMENT 180-F"/>
      <sheetName val="ManagementFee"/>
      <sheetName val="RTM support"/>
      <sheetName val="Membership"/>
      <sheetName val="travel"/>
      <sheetName val="Worksheet for Board of Director"/>
    </sheetNames>
    <sheetDataSet>
      <sheetData sheetId="0"/>
      <sheetData sheetId="1">
        <row r="5">
          <cell r="C5">
            <v>932322.62881150097</v>
          </cell>
        </row>
      </sheetData>
      <sheetData sheetId="2"/>
      <sheetData sheetId="3">
        <row r="20">
          <cell r="G20">
            <v>1071895</v>
          </cell>
        </row>
      </sheetData>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EPARTMENT 180-F"/>
      <sheetName val="DEPARTMENT 181-F"/>
      <sheetName val="DEPARTMENT 182-F"/>
      <sheetName val="DEPARTMENT 185-F"/>
      <sheetName val="DEPARTMENT 186-F"/>
      <sheetName val="DEPARTMENT 188-F"/>
      <sheetName val="DEPARTMENT 189-F"/>
      <sheetName val="DEPARTMENT 190-F"/>
      <sheetName val="DEPARTMENT 192-F "/>
      <sheetName val="DEPARTMENT 195-F"/>
      <sheetName val="DEPARTMENT 197-F"/>
      <sheetName val="DEPARTMENT 198-F"/>
      <sheetName val="DEPARTMENT 199-F"/>
      <sheetName val="DEPARTMENT 202-F"/>
      <sheetName val="DEPARTMENT 203-F "/>
      <sheetName val="TOTAL Budget"/>
      <sheetName val="DEPARTMENT PAC"/>
      <sheetName val="Management Fees"/>
      <sheetName val="Membership"/>
      <sheetName val="RTM Sup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10">
          <cell r="J10">
            <v>121090.09576335664</v>
          </cell>
        </row>
        <row r="12">
          <cell r="J12">
            <v>50670.803255504645</v>
          </cell>
        </row>
      </sheetData>
      <sheetData sheetId="18"/>
      <sheetData sheetId="1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7873D-84E8-4EF2-A610-BAD6AEAF818B}">
  <dimension ref="A1:U112"/>
  <sheetViews>
    <sheetView zoomScale="90" zoomScaleNormal="90" workbookViewId="0">
      <pane ySplit="2" topLeftCell="A30" activePane="bottomLeft" state="frozen"/>
      <selection pane="bottomLeft" activeCell="K21" sqref="K21"/>
    </sheetView>
  </sheetViews>
  <sheetFormatPr defaultColWidth="9.19921875" defaultRowHeight="12.75" x14ac:dyDescent="0.35"/>
  <cols>
    <col min="1" max="1" width="13.73046875" style="1" customWidth="1"/>
    <col min="2" max="2" width="26.46484375" style="1" customWidth="1"/>
    <col min="3" max="4" width="12.796875" style="1" hidden="1" customWidth="1"/>
    <col min="5" max="5" width="14.46484375" style="1" hidden="1" customWidth="1"/>
    <col min="6" max="8" width="13.59765625" style="1" hidden="1" customWidth="1"/>
    <col min="9" max="10" width="13.33203125" style="1" customWidth="1"/>
    <col min="11" max="11" width="13.796875" style="1" customWidth="1"/>
    <col min="12" max="12" width="14.46484375" style="233" bestFit="1" customWidth="1"/>
    <col min="13" max="13" width="15.59765625" style="1" customWidth="1"/>
    <col min="14" max="14" width="36.46484375" style="1" customWidth="1"/>
    <col min="15" max="15" width="39" style="56" customWidth="1"/>
    <col min="16" max="16" width="31.19921875" style="1" customWidth="1"/>
    <col min="17" max="16384" width="9.19921875" style="1"/>
  </cols>
  <sheetData>
    <row r="1" spans="1:21" s="133" customFormat="1" ht="13.15" x14ac:dyDescent="0.4">
      <c r="A1" s="445" t="s">
        <v>373</v>
      </c>
      <c r="B1" s="445"/>
      <c r="C1" s="445"/>
      <c r="D1" s="445"/>
      <c r="E1" s="445"/>
      <c r="F1" s="445"/>
      <c r="G1" s="445"/>
      <c r="H1" s="445"/>
      <c r="I1" s="445"/>
      <c r="J1" s="54"/>
      <c r="K1" s="54"/>
      <c r="L1" s="182"/>
      <c r="N1" s="58"/>
      <c r="Q1" s="106"/>
      <c r="R1" s="106"/>
      <c r="S1" s="106"/>
    </row>
    <row r="2" spans="1:21" ht="13.15" x14ac:dyDescent="0.4">
      <c r="A2" s="57" t="s">
        <v>1</v>
      </c>
      <c r="C2" s="57">
        <v>2021</v>
      </c>
      <c r="D2" s="57">
        <v>2022</v>
      </c>
      <c r="E2" s="57">
        <v>2022</v>
      </c>
      <c r="F2" s="57" t="s">
        <v>374</v>
      </c>
      <c r="G2" s="57">
        <v>2023</v>
      </c>
      <c r="H2" s="57">
        <v>2024</v>
      </c>
      <c r="I2" s="57">
        <v>2024</v>
      </c>
      <c r="J2" s="59">
        <v>45870</v>
      </c>
      <c r="K2" s="57">
        <v>2025</v>
      </c>
      <c r="L2" s="57">
        <v>2026</v>
      </c>
      <c r="M2" s="57">
        <v>2027</v>
      </c>
    </row>
    <row r="3" spans="1:21" ht="13.15" x14ac:dyDescent="0.4">
      <c r="A3" s="225" t="s">
        <v>5</v>
      </c>
      <c r="B3" s="225" t="s">
        <v>6</v>
      </c>
      <c r="C3" s="225" t="s">
        <v>7</v>
      </c>
      <c r="D3" s="225" t="s">
        <v>280</v>
      </c>
      <c r="E3" s="225" t="s">
        <v>9</v>
      </c>
      <c r="F3" s="225" t="s">
        <v>10</v>
      </c>
      <c r="G3" s="225" t="s">
        <v>9</v>
      </c>
      <c r="H3" s="226" t="s">
        <v>8</v>
      </c>
      <c r="I3" s="226" t="s">
        <v>7</v>
      </c>
      <c r="J3" s="226" t="s">
        <v>11</v>
      </c>
      <c r="K3" s="226" t="s">
        <v>375</v>
      </c>
      <c r="L3" s="227" t="s">
        <v>7</v>
      </c>
      <c r="M3" s="226" t="s">
        <v>7</v>
      </c>
      <c r="N3" s="232" t="s">
        <v>3</v>
      </c>
      <c r="O3" s="133" t="s">
        <v>4</v>
      </c>
    </row>
    <row r="4" spans="1:21" x14ac:dyDescent="0.35">
      <c r="A4" s="183"/>
      <c r="B4" s="183"/>
      <c r="C4" s="184"/>
      <c r="D4" s="184"/>
      <c r="E4" s="184"/>
      <c r="F4" s="184"/>
      <c r="G4" s="184"/>
      <c r="H4" s="184"/>
    </row>
    <row r="5" spans="1:21" ht="13.15" x14ac:dyDescent="0.4">
      <c r="A5" s="446" t="s">
        <v>12</v>
      </c>
      <c r="B5" s="447"/>
      <c r="C5" s="447"/>
      <c r="D5" s="447"/>
      <c r="E5" s="447"/>
      <c r="F5" s="447"/>
      <c r="G5" s="447"/>
      <c r="H5" s="8"/>
      <c r="I5" s="8"/>
      <c r="J5" s="8"/>
      <c r="K5" s="5"/>
      <c r="L5" s="185"/>
      <c r="M5" s="186"/>
      <c r="N5" s="34"/>
    </row>
    <row r="6" spans="1:21" x14ac:dyDescent="0.35">
      <c r="A6" s="18"/>
      <c r="B6" s="18"/>
      <c r="C6" s="28"/>
      <c r="D6" s="28"/>
      <c r="E6" s="28"/>
      <c r="F6" s="28"/>
      <c r="G6" s="28"/>
      <c r="H6" s="28"/>
      <c r="I6" s="8"/>
      <c r="J6" s="8"/>
      <c r="K6" s="8"/>
      <c r="L6" s="110"/>
      <c r="M6" s="234"/>
    </row>
    <row r="7" spans="1:21" ht="51" x14ac:dyDescent="0.35">
      <c r="A7" s="18" t="s">
        <v>376</v>
      </c>
      <c r="B7" s="18" t="s">
        <v>377</v>
      </c>
      <c r="C7" s="14">
        <v>839866.2</v>
      </c>
      <c r="D7" s="14">
        <v>821864.48</v>
      </c>
      <c r="E7" s="14">
        <v>839992.95</v>
      </c>
      <c r="F7" s="14">
        <v>807833.16</v>
      </c>
      <c r="G7" s="14">
        <v>864248.83</v>
      </c>
      <c r="H7" s="14">
        <v>808732.58</v>
      </c>
      <c r="I7" s="87">
        <v>867732.73</v>
      </c>
      <c r="J7" s="14">
        <v>966025</v>
      </c>
      <c r="K7" s="87">
        <v>1081620.125</v>
      </c>
      <c r="L7" s="187">
        <v>1050000</v>
      </c>
      <c r="M7" s="188">
        <f>L7*1.05</f>
        <v>1102500</v>
      </c>
      <c r="N7" s="58" t="s">
        <v>378</v>
      </c>
      <c r="O7" s="189" t="s">
        <v>379</v>
      </c>
    </row>
    <row r="8" spans="1:21" x14ac:dyDescent="0.35">
      <c r="A8" s="18" t="s">
        <v>380</v>
      </c>
      <c r="B8" s="18" t="s">
        <v>381</v>
      </c>
      <c r="C8" s="19">
        <v>162285</v>
      </c>
      <c r="D8" s="19">
        <v>169545</v>
      </c>
      <c r="E8" s="19">
        <v>150232.5</v>
      </c>
      <c r="F8" s="19">
        <v>208297.06</v>
      </c>
      <c r="G8" s="19">
        <v>206545.5</v>
      </c>
      <c r="H8" s="19">
        <v>223055</v>
      </c>
      <c r="I8" s="87">
        <v>195743.59</v>
      </c>
      <c r="J8" s="87"/>
      <c r="K8" s="87"/>
      <c r="L8" s="190"/>
      <c r="M8" s="191"/>
      <c r="N8" s="235" t="s">
        <v>628</v>
      </c>
      <c r="U8" s="1" t="s">
        <v>621</v>
      </c>
    </row>
    <row r="9" spans="1:21" x14ac:dyDescent="0.35">
      <c r="A9" s="18" t="s">
        <v>382</v>
      </c>
      <c r="B9" s="18" t="s">
        <v>383</v>
      </c>
      <c r="C9" s="19">
        <v>13066.3</v>
      </c>
      <c r="D9" s="19">
        <v>11868.22</v>
      </c>
      <c r="E9" s="19">
        <v>15120</v>
      </c>
      <c r="F9" s="19">
        <v>12742.88</v>
      </c>
      <c r="G9" s="19">
        <v>12472.11</v>
      </c>
      <c r="H9" s="19">
        <v>13395.38</v>
      </c>
      <c r="I9" s="87">
        <v>13698.6</v>
      </c>
      <c r="J9" s="87"/>
      <c r="K9" s="87"/>
      <c r="L9" s="190"/>
      <c r="M9" s="191"/>
      <c r="N9" s="235"/>
      <c r="O9" s="56" t="s">
        <v>384</v>
      </c>
      <c r="U9" s="1" t="s">
        <v>622</v>
      </c>
    </row>
    <row r="10" spans="1:21" x14ac:dyDescent="0.35">
      <c r="A10" s="18" t="s">
        <v>385</v>
      </c>
      <c r="B10" s="18" t="s">
        <v>386</v>
      </c>
      <c r="C10" s="19">
        <v>6150</v>
      </c>
      <c r="D10" s="19">
        <v>7375</v>
      </c>
      <c r="E10" s="19">
        <v>6000</v>
      </c>
      <c r="F10" s="19">
        <v>6400</v>
      </c>
      <c r="G10" s="19">
        <v>8452.5</v>
      </c>
      <c r="H10" s="19">
        <v>5975</v>
      </c>
      <c r="I10" s="87">
        <v>6208.13</v>
      </c>
      <c r="J10" s="87"/>
      <c r="K10" s="87"/>
      <c r="M10" s="191"/>
      <c r="N10" s="235"/>
      <c r="O10" s="56" t="s">
        <v>384</v>
      </c>
      <c r="U10" s="1" t="s">
        <v>623</v>
      </c>
    </row>
    <row r="11" spans="1:21" x14ac:dyDescent="0.35">
      <c r="A11" s="18">
        <v>3008</v>
      </c>
      <c r="B11" s="18" t="s">
        <v>387</v>
      </c>
      <c r="C11" s="19"/>
      <c r="D11" s="19"/>
      <c r="E11" s="19"/>
      <c r="F11" s="19"/>
      <c r="G11" s="19"/>
      <c r="H11" s="19"/>
      <c r="I11" s="87"/>
      <c r="J11" s="19">
        <v>90480</v>
      </c>
      <c r="K11" s="87">
        <v>107445</v>
      </c>
      <c r="L11" s="190">
        <v>90500</v>
      </c>
      <c r="M11" s="188">
        <v>90500</v>
      </c>
      <c r="N11" s="235"/>
      <c r="O11" s="155" t="s">
        <v>388</v>
      </c>
      <c r="U11" s="1" t="s">
        <v>624</v>
      </c>
    </row>
    <row r="12" spans="1:21" x14ac:dyDescent="0.35">
      <c r="A12" s="18" t="s">
        <v>389</v>
      </c>
      <c r="B12" s="18" t="s">
        <v>390</v>
      </c>
      <c r="C12" s="19">
        <v>27366.9</v>
      </c>
      <c r="D12" s="19">
        <v>34214.160000000003</v>
      </c>
      <c r="E12" s="19">
        <v>28900</v>
      </c>
      <c r="F12" s="19">
        <v>30682.98</v>
      </c>
      <c r="G12" s="19">
        <v>35722.300000000003</v>
      </c>
      <c r="H12" s="19">
        <v>31619.16</v>
      </c>
      <c r="I12" s="87">
        <v>32984.199999999997</v>
      </c>
      <c r="J12" s="19">
        <v>53807.5</v>
      </c>
      <c r="K12" s="87">
        <v>51965</v>
      </c>
      <c r="L12" s="187">
        <v>55000</v>
      </c>
      <c r="M12" s="188">
        <f>L12*1.05</f>
        <v>57750</v>
      </c>
      <c r="N12" s="58" t="s">
        <v>391</v>
      </c>
      <c r="O12" s="155"/>
      <c r="U12" s="1" t="s">
        <v>625</v>
      </c>
    </row>
    <row r="13" spans="1:21" x14ac:dyDescent="0.35">
      <c r="A13" s="18" t="s">
        <v>392</v>
      </c>
      <c r="B13" s="18" t="s">
        <v>393</v>
      </c>
      <c r="C13" s="19">
        <v>11955</v>
      </c>
      <c r="D13" s="19">
        <v>8330</v>
      </c>
      <c r="E13" s="19">
        <v>8845</v>
      </c>
      <c r="F13" s="19">
        <v>15730</v>
      </c>
      <c r="G13" s="19">
        <v>13324.5</v>
      </c>
      <c r="H13" s="19">
        <v>18130</v>
      </c>
      <c r="I13" s="87">
        <v>15329.5</v>
      </c>
      <c r="J13" s="87"/>
      <c r="K13" s="87"/>
      <c r="L13" s="187"/>
      <c r="M13" s="188"/>
      <c r="N13" s="235"/>
      <c r="U13" s="1" t="s">
        <v>626</v>
      </c>
    </row>
    <row r="14" spans="1:21" x14ac:dyDescent="0.35">
      <c r="A14" s="18" t="s">
        <v>394</v>
      </c>
      <c r="B14" s="18" t="s">
        <v>395</v>
      </c>
      <c r="C14" s="19">
        <v>1225</v>
      </c>
      <c r="D14" s="19">
        <v>1254.58</v>
      </c>
      <c r="E14" s="19">
        <v>1470</v>
      </c>
      <c r="F14" s="19">
        <v>1701.64</v>
      </c>
      <c r="G14" s="19">
        <v>1317.31</v>
      </c>
      <c r="H14" s="19">
        <v>1926.22</v>
      </c>
      <c r="I14" s="87">
        <v>1829.26</v>
      </c>
      <c r="J14" s="19">
        <v>2620</v>
      </c>
      <c r="K14" s="87">
        <v>2804.875</v>
      </c>
      <c r="L14" s="187">
        <v>2620</v>
      </c>
      <c r="M14" s="188">
        <f>L14*1.05</f>
        <v>2751</v>
      </c>
      <c r="N14" s="235"/>
      <c r="U14" s="1" t="s">
        <v>631</v>
      </c>
    </row>
    <row r="15" spans="1:21" x14ac:dyDescent="0.35">
      <c r="A15" s="18" t="s">
        <v>396</v>
      </c>
      <c r="B15" s="18" t="s">
        <v>397</v>
      </c>
      <c r="C15" s="19">
        <v>245</v>
      </c>
      <c r="D15" s="19">
        <v>245</v>
      </c>
      <c r="E15" s="19">
        <v>245</v>
      </c>
      <c r="F15" s="19">
        <v>735</v>
      </c>
      <c r="G15" s="19">
        <v>771.75</v>
      </c>
      <c r="H15" s="19">
        <v>0</v>
      </c>
      <c r="I15" s="87">
        <v>526.75</v>
      </c>
      <c r="J15" s="87"/>
      <c r="K15" s="87"/>
      <c r="L15" s="187"/>
      <c r="M15" s="188"/>
      <c r="N15" s="235"/>
      <c r="U15" s="1" t="s">
        <v>635</v>
      </c>
    </row>
    <row r="16" spans="1:21" x14ac:dyDescent="0.35">
      <c r="A16" s="18" t="s">
        <v>398</v>
      </c>
      <c r="B16" s="18" t="s">
        <v>399</v>
      </c>
      <c r="C16" s="19">
        <v>179055.32</v>
      </c>
      <c r="D16" s="19">
        <v>213462.36</v>
      </c>
      <c r="E16" s="19">
        <v>172651.5</v>
      </c>
      <c r="F16" s="19">
        <v>208887.67999999999</v>
      </c>
      <c r="G16" s="19">
        <v>220810.46</v>
      </c>
      <c r="H16" s="19">
        <v>202610.02</v>
      </c>
      <c r="I16" s="87">
        <v>222974.01</v>
      </c>
      <c r="J16" s="19">
        <v>223450</v>
      </c>
      <c r="K16" s="87">
        <v>205200</v>
      </c>
      <c r="L16" s="187">
        <v>225000</v>
      </c>
      <c r="M16" s="188">
        <f>L16*1.05</f>
        <v>236250</v>
      </c>
      <c r="N16" s="235"/>
      <c r="O16" s="131"/>
      <c r="U16" s="1" t="s">
        <v>636</v>
      </c>
    </row>
    <row r="17" spans="1:21" x14ac:dyDescent="0.35">
      <c r="A17" s="18" t="s">
        <v>400</v>
      </c>
      <c r="B17" s="18" t="s">
        <v>401</v>
      </c>
      <c r="C17" s="19">
        <v>41697.75</v>
      </c>
      <c r="D17" s="19">
        <v>51298</v>
      </c>
      <c r="E17" s="19">
        <v>35730</v>
      </c>
      <c r="F17" s="19">
        <v>51400</v>
      </c>
      <c r="G17" s="19">
        <v>54498.15</v>
      </c>
      <c r="H17" s="19">
        <v>43345</v>
      </c>
      <c r="I17" s="87">
        <v>53965</v>
      </c>
      <c r="J17" s="19">
        <v>59475</v>
      </c>
      <c r="K17" s="87">
        <v>59968.75</v>
      </c>
      <c r="L17" s="187">
        <v>59500</v>
      </c>
      <c r="M17" s="188">
        <f>L17*1.05</f>
        <v>62475</v>
      </c>
      <c r="N17" s="235"/>
      <c r="O17" s="56" t="s">
        <v>402</v>
      </c>
    </row>
    <row r="18" spans="1:21" x14ac:dyDescent="0.35">
      <c r="A18" s="18" t="s">
        <v>403</v>
      </c>
      <c r="B18" s="18" t="s">
        <v>404</v>
      </c>
      <c r="C18" s="19">
        <v>8714</v>
      </c>
      <c r="D18" s="19">
        <v>11502</v>
      </c>
      <c r="E18" s="19">
        <v>10100</v>
      </c>
      <c r="F18" s="19">
        <v>14100</v>
      </c>
      <c r="G18" s="19">
        <v>11552.1</v>
      </c>
      <c r="H18" s="19">
        <v>11152.84</v>
      </c>
      <c r="I18" s="87">
        <v>14835</v>
      </c>
      <c r="J18" s="87"/>
      <c r="K18" s="87"/>
      <c r="L18" s="190"/>
      <c r="M18" s="191"/>
      <c r="N18" s="235"/>
      <c r="O18" s="56" t="s">
        <v>405</v>
      </c>
      <c r="U18" s="1" t="s">
        <v>627</v>
      </c>
    </row>
    <row r="19" spans="1:21" x14ac:dyDescent="0.35">
      <c r="A19" s="18" t="s">
        <v>406</v>
      </c>
      <c r="B19" s="18" t="s">
        <v>407</v>
      </c>
      <c r="C19" s="19">
        <v>3920</v>
      </c>
      <c r="D19" s="19">
        <v>2240</v>
      </c>
      <c r="E19" s="19">
        <v>2362.5</v>
      </c>
      <c r="F19" s="19">
        <v>1820</v>
      </c>
      <c r="G19" s="19">
        <v>2352</v>
      </c>
      <c r="H19" s="19">
        <v>1960</v>
      </c>
      <c r="I19" s="87">
        <v>1956.5</v>
      </c>
      <c r="J19" s="19">
        <v>1980</v>
      </c>
      <c r="K19" s="87">
        <v>2037.75</v>
      </c>
      <c r="L19" s="187">
        <v>1980</v>
      </c>
      <c r="M19" s="188">
        <v>1980</v>
      </c>
      <c r="N19" s="235"/>
    </row>
    <row r="20" spans="1:21" ht="13.15" x14ac:dyDescent="0.4">
      <c r="A20" s="9"/>
      <c r="B20" s="9" t="s">
        <v>408</v>
      </c>
      <c r="C20" s="50">
        <v>1295546.47</v>
      </c>
      <c r="D20" s="50">
        <v>1333198.8</v>
      </c>
      <c r="E20" s="50">
        <f>SUM(E7:E19)</f>
        <v>1271649.45</v>
      </c>
      <c r="F20" s="50">
        <v>1360330.4</v>
      </c>
      <c r="G20" s="50">
        <v>1432067.51</v>
      </c>
      <c r="H20" s="50">
        <f>SUM(H7:H19)</f>
        <v>1361901.2</v>
      </c>
      <c r="I20" s="85">
        <f>SUM(I7:I19)</f>
        <v>1427783.27</v>
      </c>
      <c r="J20" s="85">
        <f>SUM(J7:J19)</f>
        <v>1397837.5</v>
      </c>
      <c r="K20" s="85">
        <f>SUM(K7:K19)</f>
        <v>1511041.5</v>
      </c>
      <c r="L20" s="192">
        <f>SUM(L7:L19)</f>
        <v>1484600</v>
      </c>
      <c r="M20" s="193">
        <f>SUM(M7:M19)</f>
        <v>1554206</v>
      </c>
      <c r="N20" s="235"/>
    </row>
    <row r="21" spans="1:21" ht="13.15" x14ac:dyDescent="0.4">
      <c r="A21" s="9"/>
      <c r="B21" s="9"/>
      <c r="C21" s="27"/>
      <c r="D21" s="27"/>
      <c r="E21" s="27"/>
      <c r="F21" s="77"/>
      <c r="G21" s="27"/>
      <c r="H21" s="27"/>
      <c r="I21" s="87"/>
      <c r="J21" s="87"/>
      <c r="K21" s="194"/>
      <c r="L21" s="236"/>
      <c r="M21" s="237"/>
      <c r="N21" s="238" t="s">
        <v>409</v>
      </c>
    </row>
    <row r="22" spans="1:21" ht="13.15" x14ac:dyDescent="0.4">
      <c r="A22" s="448" t="s">
        <v>410</v>
      </c>
      <c r="B22" s="447"/>
      <c r="C22" s="447"/>
      <c r="D22" s="447"/>
      <c r="E22" s="447"/>
      <c r="F22" s="447"/>
      <c r="G22" s="447"/>
      <c r="H22" s="8"/>
      <c r="I22" s="87"/>
      <c r="J22" s="87"/>
      <c r="K22" s="87"/>
      <c r="L22" s="236"/>
      <c r="M22" s="237"/>
    </row>
    <row r="23" spans="1:21" x14ac:dyDescent="0.35">
      <c r="A23" s="18"/>
      <c r="B23" s="18"/>
      <c r="C23" s="28"/>
      <c r="D23" s="28"/>
      <c r="E23" s="28"/>
      <c r="F23" s="28"/>
      <c r="G23" s="28"/>
      <c r="H23" s="28"/>
      <c r="I23" s="87"/>
      <c r="J23" s="87"/>
      <c r="K23" s="87"/>
      <c r="L23" s="236"/>
      <c r="M23" s="237"/>
    </row>
    <row r="24" spans="1:21" x14ac:dyDescent="0.35">
      <c r="A24" s="18" t="s">
        <v>411</v>
      </c>
      <c r="B24" s="18" t="s">
        <v>412</v>
      </c>
      <c r="C24" s="19">
        <v>78294.16</v>
      </c>
      <c r="D24" s="19">
        <v>90880.95</v>
      </c>
      <c r="E24" s="19">
        <v>35000</v>
      </c>
      <c r="F24" s="19">
        <v>116420.72</v>
      </c>
      <c r="G24" s="19">
        <v>40000</v>
      </c>
      <c r="H24" s="19">
        <v>264313.90999999997</v>
      </c>
      <c r="I24" s="66">
        <v>50000</v>
      </c>
      <c r="J24" s="19">
        <v>155104.6</v>
      </c>
      <c r="K24" s="66">
        <v>150000</v>
      </c>
      <c r="L24" s="195">
        <v>150000</v>
      </c>
      <c r="M24" s="196">
        <v>150000</v>
      </c>
      <c r="N24" s="239"/>
      <c r="O24" s="197" t="s">
        <v>413</v>
      </c>
    </row>
    <row r="25" spans="1:21" ht="13.5" customHeight="1" x14ac:dyDescent="0.35">
      <c r="A25" s="18" t="s">
        <v>414</v>
      </c>
      <c r="B25" s="18" t="s">
        <v>415</v>
      </c>
      <c r="C25" s="19"/>
      <c r="D25" s="19"/>
      <c r="E25" s="19"/>
      <c r="F25" s="19">
        <v>23272.080000000002</v>
      </c>
      <c r="G25" s="19">
        <v>0</v>
      </c>
      <c r="H25" s="19">
        <v>53162.52</v>
      </c>
      <c r="I25" s="87">
        <v>0</v>
      </c>
      <c r="J25" s="19">
        <v>38741.97</v>
      </c>
      <c r="K25" s="87">
        <v>35000</v>
      </c>
      <c r="L25" s="195"/>
      <c r="M25" s="196"/>
      <c r="N25" s="239"/>
      <c r="O25" s="197" t="s">
        <v>416</v>
      </c>
    </row>
    <row r="26" spans="1:21" x14ac:dyDescent="0.35">
      <c r="A26" s="18">
        <v>3128</v>
      </c>
      <c r="B26" s="18" t="s">
        <v>417</v>
      </c>
      <c r="C26" s="19"/>
      <c r="D26" s="19"/>
      <c r="E26" s="19"/>
      <c r="F26" s="19">
        <v>0</v>
      </c>
      <c r="G26" s="19"/>
      <c r="H26" s="19">
        <v>0</v>
      </c>
      <c r="I26" s="87">
        <v>0</v>
      </c>
      <c r="J26" s="87"/>
      <c r="K26" s="87"/>
      <c r="L26" s="198"/>
      <c r="M26" s="199"/>
      <c r="N26" s="223"/>
    </row>
    <row r="27" spans="1:21" x14ac:dyDescent="0.35">
      <c r="A27" s="18" t="s">
        <v>418</v>
      </c>
      <c r="B27" s="18" t="s">
        <v>26</v>
      </c>
      <c r="C27" s="19">
        <v>3212.87</v>
      </c>
      <c r="D27" s="19">
        <v>0</v>
      </c>
      <c r="E27" s="19">
        <v>100</v>
      </c>
      <c r="F27" s="19">
        <v>50</v>
      </c>
      <c r="G27" s="19">
        <v>0</v>
      </c>
      <c r="H27" s="19">
        <v>1725</v>
      </c>
      <c r="I27" s="66">
        <v>0</v>
      </c>
      <c r="J27" s="19">
        <v>0</v>
      </c>
      <c r="K27" s="66">
        <v>1000</v>
      </c>
      <c r="L27" s="187">
        <v>750</v>
      </c>
      <c r="M27" s="188"/>
      <c r="N27" s="240"/>
    </row>
    <row r="28" spans="1:21" x14ac:dyDescent="0.35">
      <c r="A28" s="18" t="s">
        <v>419</v>
      </c>
      <c r="B28" s="18" t="s">
        <v>420</v>
      </c>
      <c r="C28" s="19">
        <v>432123.49</v>
      </c>
      <c r="D28" s="19">
        <v>404969.49</v>
      </c>
      <c r="E28" s="19">
        <v>375000</v>
      </c>
      <c r="F28" s="19">
        <v>427093.8</v>
      </c>
      <c r="G28" s="19">
        <v>400000</v>
      </c>
      <c r="H28" s="19">
        <v>546379.02</v>
      </c>
      <c r="I28" s="66">
        <v>450000</v>
      </c>
      <c r="J28" s="19">
        <v>283073.13</v>
      </c>
      <c r="K28" s="66">
        <v>450000</v>
      </c>
      <c r="L28" s="200">
        <v>450000</v>
      </c>
      <c r="M28" s="201">
        <v>475000</v>
      </c>
      <c r="N28" s="241"/>
      <c r="O28" s="197" t="s">
        <v>421</v>
      </c>
    </row>
    <row r="29" spans="1:21" ht="127.5" x14ac:dyDescent="0.35">
      <c r="A29" s="18" t="s">
        <v>93</v>
      </c>
      <c r="B29" s="18" t="s">
        <v>422</v>
      </c>
      <c r="C29" s="19">
        <v>115000</v>
      </c>
      <c r="D29" s="19">
        <v>72000</v>
      </c>
      <c r="E29" s="19">
        <v>70000</v>
      </c>
      <c r="F29" s="19">
        <v>93000</v>
      </c>
      <c r="G29" s="19">
        <v>77000</v>
      </c>
      <c r="H29" s="19">
        <v>100991.67999999999</v>
      </c>
      <c r="I29" s="66">
        <v>93000</v>
      </c>
      <c r="J29" s="19">
        <v>112000</v>
      </c>
      <c r="K29" s="66">
        <v>93000</v>
      </c>
      <c r="L29" s="187">
        <v>159000</v>
      </c>
      <c r="M29" s="188">
        <f>L29*1.05</f>
        <v>166950</v>
      </c>
      <c r="N29" s="242" t="s">
        <v>423</v>
      </c>
      <c r="O29" s="202" t="s">
        <v>424</v>
      </c>
      <c r="P29" s="243"/>
      <c r="Q29" s="243"/>
      <c r="R29" s="243"/>
    </row>
    <row r="30" spans="1:21" x14ac:dyDescent="0.35">
      <c r="A30" s="18">
        <v>3147</v>
      </c>
      <c r="B30" s="18" t="s">
        <v>425</v>
      </c>
      <c r="C30" s="19"/>
      <c r="D30" s="19"/>
      <c r="E30" s="19"/>
      <c r="F30" s="19"/>
      <c r="G30" s="19"/>
      <c r="H30" s="19">
        <v>300</v>
      </c>
      <c r="I30" s="66">
        <v>0</v>
      </c>
      <c r="J30" s="19">
        <v>100</v>
      </c>
      <c r="K30" s="66">
        <v>0</v>
      </c>
      <c r="L30" s="244"/>
      <c r="M30" s="245"/>
      <c r="N30" s="246"/>
    </row>
    <row r="31" spans="1:21" x14ac:dyDescent="0.35">
      <c r="A31" s="18" t="s">
        <v>426</v>
      </c>
      <c r="B31" s="18" t="s">
        <v>427</v>
      </c>
      <c r="C31" s="19"/>
      <c r="D31" s="19"/>
      <c r="E31" s="19"/>
      <c r="F31" s="19">
        <v>12903</v>
      </c>
      <c r="G31" s="19"/>
      <c r="H31" s="19">
        <v>9325.43</v>
      </c>
      <c r="I31" s="66">
        <v>0</v>
      </c>
      <c r="J31" s="66"/>
      <c r="K31" s="66">
        <v>0</v>
      </c>
      <c r="L31" s="244"/>
      <c r="M31" s="245"/>
      <c r="N31" s="246"/>
    </row>
    <row r="32" spans="1:21" ht="13.15" x14ac:dyDescent="0.4">
      <c r="A32" s="9"/>
      <c r="B32" s="9" t="s">
        <v>410</v>
      </c>
      <c r="C32" s="50">
        <v>628630.52</v>
      </c>
      <c r="D32" s="50">
        <v>567850.43999999994</v>
      </c>
      <c r="E32" s="50">
        <f>SUM(E25:E29)</f>
        <v>445100</v>
      </c>
      <c r="F32" s="50">
        <f>SUM(F24:F31)</f>
        <v>672739.6</v>
      </c>
      <c r="G32" s="50">
        <v>517000</v>
      </c>
      <c r="H32" s="50">
        <f t="shared" ref="H32:M32" si="0">SUM(H24:H31)</f>
        <v>976197.55999999994</v>
      </c>
      <c r="I32" s="85">
        <f t="shared" si="0"/>
        <v>593000</v>
      </c>
      <c r="J32" s="85">
        <f t="shared" si="0"/>
        <v>589019.69999999995</v>
      </c>
      <c r="K32" s="85">
        <f>SUM(K24:K31)</f>
        <v>729000</v>
      </c>
      <c r="L32" s="192">
        <f>SUM(L24:L31)</f>
        <v>759750</v>
      </c>
      <c r="M32" s="193">
        <f t="shared" si="0"/>
        <v>791950</v>
      </c>
    </row>
    <row r="33" spans="1:15" ht="13.15" x14ac:dyDescent="0.4">
      <c r="A33" s="9"/>
      <c r="B33" s="9"/>
      <c r="C33" s="27"/>
      <c r="D33" s="27"/>
      <c r="E33" s="27"/>
      <c r="F33" s="27"/>
      <c r="G33" s="27"/>
      <c r="H33" s="50"/>
      <c r="I33" s="87"/>
      <c r="J33" s="87"/>
      <c r="K33" s="87"/>
      <c r="L33" s="236"/>
      <c r="M33" s="237"/>
    </row>
    <row r="34" spans="1:15" ht="13.15" x14ac:dyDescent="0.4">
      <c r="A34" s="9"/>
      <c r="B34" s="9" t="s">
        <v>428</v>
      </c>
      <c r="C34" s="50">
        <v>1924176.99</v>
      </c>
      <c r="D34" s="50">
        <v>1901049.24</v>
      </c>
      <c r="E34" s="50">
        <f>SUM(E32+E21)</f>
        <v>445100</v>
      </c>
      <c r="F34" s="50">
        <v>1641306</v>
      </c>
      <c r="G34" s="50">
        <v>1949067.51</v>
      </c>
      <c r="H34" s="50">
        <f t="shared" ref="H34:M34" si="1">H32+H20</f>
        <v>2338098.7599999998</v>
      </c>
      <c r="I34" s="50">
        <f t="shared" si="1"/>
        <v>2020783.27</v>
      </c>
      <c r="J34" s="50">
        <f t="shared" si="1"/>
        <v>1986857.2</v>
      </c>
      <c r="K34" s="85">
        <f>K32+K20</f>
        <v>2240041.5</v>
      </c>
      <c r="L34" s="192">
        <f>L32+L20</f>
        <v>2244350</v>
      </c>
      <c r="M34" s="203">
        <f t="shared" si="1"/>
        <v>2346156</v>
      </c>
      <c r="N34" s="247"/>
    </row>
    <row r="35" spans="1:15" ht="13.15" x14ac:dyDescent="0.4">
      <c r="A35" s="9"/>
      <c r="B35" s="9"/>
      <c r="C35" s="50"/>
      <c r="D35" s="50"/>
      <c r="E35" s="50"/>
      <c r="F35" s="27"/>
      <c r="G35" s="27"/>
      <c r="H35" s="27"/>
      <c r="I35" s="87"/>
      <c r="J35" s="87"/>
      <c r="K35" s="87"/>
      <c r="L35" s="236"/>
      <c r="M35" s="237"/>
    </row>
    <row r="36" spans="1:15" ht="13.15" x14ac:dyDescent="0.4">
      <c r="A36" s="2" t="s">
        <v>18</v>
      </c>
      <c r="B36" s="8"/>
      <c r="C36" s="27"/>
      <c r="D36" s="27"/>
      <c r="E36" s="27"/>
      <c r="F36" s="8"/>
      <c r="G36" s="8"/>
      <c r="H36" s="8"/>
      <c r="I36" s="87"/>
      <c r="J36" s="87"/>
      <c r="K36" s="87"/>
      <c r="L36" s="236"/>
      <c r="M36" s="237"/>
    </row>
    <row r="37" spans="1:15" x14ac:dyDescent="0.35">
      <c r="A37" s="18"/>
      <c r="B37" s="18"/>
      <c r="C37" s="8"/>
      <c r="D37" s="8"/>
      <c r="E37" s="8"/>
      <c r="F37" s="28"/>
      <c r="G37" s="28"/>
      <c r="H37" s="28"/>
      <c r="I37" s="87"/>
      <c r="J37" s="87"/>
      <c r="K37" s="87"/>
      <c r="L37" s="236"/>
      <c r="M37" s="237"/>
    </row>
    <row r="38" spans="1:15" ht="13.15" x14ac:dyDescent="0.4">
      <c r="A38" s="9" t="s">
        <v>429</v>
      </c>
      <c r="B38" s="8"/>
      <c r="C38" s="28"/>
      <c r="D38" s="28"/>
      <c r="E38" s="28"/>
      <c r="F38" s="8"/>
      <c r="G38" s="8"/>
      <c r="H38" s="8"/>
      <c r="I38" s="87"/>
      <c r="J38" s="87"/>
      <c r="K38" s="87"/>
      <c r="L38" s="236"/>
      <c r="M38" s="237"/>
    </row>
    <row r="39" spans="1:15" x14ac:dyDescent="0.35">
      <c r="A39" s="18"/>
      <c r="B39" s="18"/>
      <c r="C39" s="8"/>
      <c r="D39" s="8"/>
      <c r="E39" s="8"/>
      <c r="F39" s="28"/>
      <c r="G39" s="28"/>
      <c r="H39" s="28"/>
      <c r="I39" s="87"/>
      <c r="J39" s="87"/>
      <c r="K39" s="87"/>
      <c r="L39" s="236"/>
      <c r="M39" s="237"/>
    </row>
    <row r="40" spans="1:15" x14ac:dyDescent="0.35">
      <c r="A40" s="18" t="s">
        <v>430</v>
      </c>
      <c r="B40" s="18" t="s">
        <v>431</v>
      </c>
      <c r="C40" s="19">
        <v>6488.96</v>
      </c>
      <c r="D40" s="19">
        <v>11118.54</v>
      </c>
      <c r="E40" s="204">
        <v>8125</v>
      </c>
      <c r="F40" s="19">
        <v>4120.17</v>
      </c>
      <c r="G40" s="19">
        <v>14000</v>
      </c>
      <c r="H40" s="19">
        <v>6474.74</v>
      </c>
      <c r="I40" s="66">
        <v>14000</v>
      </c>
      <c r="J40" s="19">
        <v>16514.25</v>
      </c>
      <c r="K40" s="66">
        <v>10000</v>
      </c>
      <c r="L40" s="236">
        <v>16000</v>
      </c>
      <c r="M40" s="237">
        <v>16500</v>
      </c>
    </row>
    <row r="41" spans="1:15" x14ac:dyDescent="0.35">
      <c r="A41" s="18" t="s">
        <v>432</v>
      </c>
      <c r="B41" s="18" t="s">
        <v>433</v>
      </c>
      <c r="C41" s="19">
        <v>8954.67</v>
      </c>
      <c r="D41" s="19">
        <v>14163.03</v>
      </c>
      <c r="E41" s="204">
        <v>24725</v>
      </c>
      <c r="F41" s="19">
        <v>14387.99</v>
      </c>
      <c r="G41" s="19">
        <v>20825</v>
      </c>
      <c r="H41" s="19">
        <v>10565.5</v>
      </c>
      <c r="I41" s="66">
        <v>21900</v>
      </c>
      <c r="J41" s="19">
        <v>17346.25</v>
      </c>
      <c r="K41" s="66">
        <v>15000</v>
      </c>
      <c r="L41" s="236">
        <v>20000</v>
      </c>
      <c r="M41" s="237">
        <v>21000</v>
      </c>
    </row>
    <row r="42" spans="1:15" x14ac:dyDescent="0.35">
      <c r="A42" s="18" t="s">
        <v>434</v>
      </c>
      <c r="B42" s="18" t="s">
        <v>435</v>
      </c>
      <c r="C42" s="19">
        <v>0</v>
      </c>
      <c r="D42" s="19">
        <v>0</v>
      </c>
      <c r="E42" s="204">
        <v>50</v>
      </c>
      <c r="F42" s="19">
        <v>0</v>
      </c>
      <c r="G42" s="19">
        <v>50</v>
      </c>
      <c r="H42" s="19">
        <v>0</v>
      </c>
      <c r="I42" s="66">
        <v>50</v>
      </c>
      <c r="J42" s="19">
        <v>0</v>
      </c>
      <c r="K42" s="66">
        <v>50</v>
      </c>
      <c r="L42" s="236">
        <v>0</v>
      </c>
      <c r="M42" s="237"/>
    </row>
    <row r="43" spans="1:15" x14ac:dyDescent="0.35">
      <c r="A43" s="18" t="s">
        <v>436</v>
      </c>
      <c r="B43" s="18" t="s">
        <v>437</v>
      </c>
      <c r="C43" s="19">
        <v>0</v>
      </c>
      <c r="D43" s="19">
        <v>0</v>
      </c>
      <c r="E43" s="204">
        <v>50</v>
      </c>
      <c r="F43" s="19">
        <v>0</v>
      </c>
      <c r="G43" s="19">
        <v>50</v>
      </c>
      <c r="H43" s="19">
        <v>0</v>
      </c>
      <c r="I43" s="66">
        <v>50</v>
      </c>
      <c r="J43" s="19">
        <v>0</v>
      </c>
      <c r="K43" s="66">
        <v>50</v>
      </c>
      <c r="L43" s="236">
        <v>0</v>
      </c>
      <c r="M43" s="237"/>
    </row>
    <row r="44" spans="1:15" x14ac:dyDescent="0.35">
      <c r="A44" s="18" t="s">
        <v>438</v>
      </c>
      <c r="B44" s="18" t="s">
        <v>439</v>
      </c>
      <c r="C44" s="19">
        <v>0</v>
      </c>
      <c r="D44" s="19">
        <v>0</v>
      </c>
      <c r="E44" s="204">
        <v>50</v>
      </c>
      <c r="F44" s="19">
        <v>0</v>
      </c>
      <c r="G44" s="19">
        <v>50</v>
      </c>
      <c r="H44" s="19">
        <v>0</v>
      </c>
      <c r="I44" s="66">
        <v>50</v>
      </c>
      <c r="J44" s="19">
        <v>0</v>
      </c>
      <c r="K44" s="66">
        <v>50</v>
      </c>
      <c r="L44" s="236">
        <v>0</v>
      </c>
      <c r="M44" s="237"/>
    </row>
    <row r="45" spans="1:15" x14ac:dyDescent="0.35">
      <c r="A45" s="18" t="s">
        <v>440</v>
      </c>
      <c r="B45" s="18" t="s">
        <v>441</v>
      </c>
      <c r="C45" s="205"/>
      <c r="D45" s="19">
        <v>0</v>
      </c>
      <c r="E45" s="206">
        <v>4000</v>
      </c>
      <c r="F45" s="19">
        <v>181.11</v>
      </c>
      <c r="G45" s="19">
        <v>100</v>
      </c>
      <c r="H45" s="19">
        <v>840</v>
      </c>
      <c r="I45" s="66">
        <v>3000</v>
      </c>
      <c r="J45" s="19">
        <v>0</v>
      </c>
      <c r="K45" s="66">
        <v>3000</v>
      </c>
      <c r="L45" s="198">
        <v>1000</v>
      </c>
      <c r="M45" s="199">
        <v>1000</v>
      </c>
      <c r="N45" s="58"/>
    </row>
    <row r="46" spans="1:15" x14ac:dyDescent="0.35">
      <c r="A46" s="18" t="s">
        <v>442</v>
      </c>
      <c r="B46" s="18" t="s">
        <v>443</v>
      </c>
      <c r="C46" s="19">
        <v>5311.16</v>
      </c>
      <c r="D46" s="19">
        <v>0</v>
      </c>
      <c r="E46" s="204">
        <v>50</v>
      </c>
      <c r="F46" s="19">
        <v>0</v>
      </c>
      <c r="G46" s="19">
        <v>5000</v>
      </c>
      <c r="H46" s="19">
        <v>0</v>
      </c>
      <c r="I46" s="66">
        <v>0</v>
      </c>
      <c r="J46" s="66"/>
      <c r="K46" s="66">
        <v>0</v>
      </c>
      <c r="L46" s="66"/>
      <c r="M46" s="66">
        <v>0</v>
      </c>
      <c r="N46" s="58" t="s">
        <v>444</v>
      </c>
      <c r="O46" s="56" t="s">
        <v>445</v>
      </c>
    </row>
    <row r="47" spans="1:15" ht="13.15" x14ac:dyDescent="0.4">
      <c r="A47" s="9"/>
      <c r="B47" s="9" t="s">
        <v>446</v>
      </c>
      <c r="C47" s="50">
        <v>20754.79</v>
      </c>
      <c r="D47" s="50">
        <v>25281.57</v>
      </c>
      <c r="E47" s="50">
        <f>SUM(E40:E46)</f>
        <v>37050</v>
      </c>
      <c r="F47" s="50">
        <v>18689.27</v>
      </c>
      <c r="G47" s="50">
        <v>40075</v>
      </c>
      <c r="H47" s="50">
        <f t="shared" ref="H47:M47" si="2">SUM(H40:H46)</f>
        <v>17880.239999999998</v>
      </c>
      <c r="I47" s="85">
        <f t="shared" si="2"/>
        <v>39050</v>
      </c>
      <c r="J47" s="85">
        <f t="shared" si="2"/>
        <v>33860.5</v>
      </c>
      <c r="K47" s="85">
        <f>SUM(K40:K46)</f>
        <v>28150</v>
      </c>
      <c r="L47" s="192">
        <f>SUM(L40:L46)</f>
        <v>37000</v>
      </c>
      <c r="M47" s="193">
        <f t="shared" si="2"/>
        <v>38500</v>
      </c>
    </row>
    <row r="48" spans="1:15" ht="13.15" x14ac:dyDescent="0.4">
      <c r="A48" s="9"/>
      <c r="B48" s="9"/>
      <c r="C48" s="50"/>
      <c r="D48" s="50"/>
      <c r="E48" s="50"/>
      <c r="F48" s="27"/>
      <c r="G48" s="27"/>
      <c r="H48" s="50"/>
      <c r="I48" s="87"/>
      <c r="J48" s="87"/>
      <c r="K48" s="87"/>
      <c r="L48" s="236"/>
      <c r="M48" s="237"/>
    </row>
    <row r="49" spans="1:15" ht="13.15" x14ac:dyDescent="0.4">
      <c r="A49" s="9" t="s">
        <v>447</v>
      </c>
      <c r="B49" s="8"/>
      <c r="C49" s="27"/>
      <c r="D49" s="27"/>
      <c r="E49" s="27"/>
      <c r="F49" s="8"/>
      <c r="G49" s="8"/>
      <c r="H49" s="27"/>
      <c r="I49" s="87"/>
      <c r="J49" s="87"/>
      <c r="K49" s="87"/>
      <c r="L49" s="236"/>
      <c r="M49" s="237"/>
    </row>
    <row r="50" spans="1:15" x14ac:dyDescent="0.35">
      <c r="A50" s="18"/>
      <c r="B50" s="18"/>
      <c r="C50" s="8"/>
      <c r="D50" s="8"/>
      <c r="E50" s="8"/>
      <c r="F50" s="28"/>
      <c r="G50" s="28"/>
      <c r="H50" s="8"/>
      <c r="I50" s="87"/>
      <c r="J50" s="87"/>
      <c r="K50" s="87"/>
      <c r="L50" s="236"/>
      <c r="M50" s="237"/>
    </row>
    <row r="51" spans="1:15" x14ac:dyDescent="0.35">
      <c r="A51" s="18" t="s">
        <v>448</v>
      </c>
      <c r="B51" s="18" t="s">
        <v>449</v>
      </c>
      <c r="C51" s="19">
        <v>6427.3</v>
      </c>
      <c r="D51" s="19">
        <v>19975.62</v>
      </c>
      <c r="E51" s="204">
        <v>19700</v>
      </c>
      <c r="F51" s="19">
        <v>10393.469999999999</v>
      </c>
      <c r="G51" s="19">
        <v>19700</v>
      </c>
      <c r="H51" s="19">
        <v>14241.49</v>
      </c>
      <c r="I51" s="66">
        <v>17700</v>
      </c>
      <c r="J51" s="19">
        <v>9094.36</v>
      </c>
      <c r="K51" s="66">
        <v>15000</v>
      </c>
      <c r="L51" s="198">
        <v>15000</v>
      </c>
      <c r="M51" s="199">
        <v>16000</v>
      </c>
      <c r="N51" s="58"/>
    </row>
    <row r="52" spans="1:15" x14ac:dyDescent="0.35">
      <c r="A52" s="18" t="s">
        <v>450</v>
      </c>
      <c r="B52" s="18" t="s">
        <v>451</v>
      </c>
      <c r="C52" s="19">
        <v>3939.19</v>
      </c>
      <c r="D52" s="19">
        <v>11176.04</v>
      </c>
      <c r="E52" s="204">
        <v>16950</v>
      </c>
      <c r="F52" s="19">
        <v>12295.72</v>
      </c>
      <c r="G52" s="19">
        <v>17950</v>
      </c>
      <c r="H52" s="19">
        <v>11955.7</v>
      </c>
      <c r="I52" s="66">
        <v>14950</v>
      </c>
      <c r="J52" s="19">
        <v>8989.26</v>
      </c>
      <c r="K52" s="66">
        <v>13000</v>
      </c>
      <c r="L52" s="198">
        <v>13000</v>
      </c>
      <c r="M52" s="199">
        <v>14000</v>
      </c>
      <c r="N52" s="58"/>
    </row>
    <row r="53" spans="1:15" x14ac:dyDescent="0.35">
      <c r="A53" s="18" t="s">
        <v>452</v>
      </c>
      <c r="B53" s="18" t="s">
        <v>453</v>
      </c>
      <c r="C53" s="19">
        <v>0</v>
      </c>
      <c r="D53" s="19">
        <v>983.6</v>
      </c>
      <c r="E53" s="204">
        <v>0</v>
      </c>
      <c r="F53" s="19">
        <v>125.21</v>
      </c>
      <c r="G53" s="19">
        <v>0</v>
      </c>
      <c r="H53" s="19">
        <v>0</v>
      </c>
      <c r="I53" s="66">
        <v>1500</v>
      </c>
      <c r="J53" s="19">
        <v>0</v>
      </c>
      <c r="K53" s="66">
        <v>1500</v>
      </c>
      <c r="L53" s="236">
        <v>1500</v>
      </c>
      <c r="M53" s="237">
        <v>1500</v>
      </c>
      <c r="O53" s="56" t="s">
        <v>454</v>
      </c>
    </row>
    <row r="54" spans="1:15" x14ac:dyDescent="0.35">
      <c r="A54" s="18" t="s">
        <v>455</v>
      </c>
      <c r="B54" s="18" t="s">
        <v>456</v>
      </c>
      <c r="C54" s="19">
        <v>1347</v>
      </c>
      <c r="D54" s="19">
        <v>5683.44</v>
      </c>
      <c r="E54" s="204">
        <v>7425</v>
      </c>
      <c r="F54" s="19">
        <v>7322.87</v>
      </c>
      <c r="G54" s="19">
        <v>8500</v>
      </c>
      <c r="H54" s="19">
        <v>10823.82</v>
      </c>
      <c r="I54" s="66">
        <v>11500</v>
      </c>
      <c r="J54" s="19">
        <v>11678.79</v>
      </c>
      <c r="K54" s="66">
        <v>13000</v>
      </c>
      <c r="L54" s="187">
        <v>15000</v>
      </c>
      <c r="M54" s="188">
        <v>16000</v>
      </c>
      <c r="N54" s="58" t="s">
        <v>457</v>
      </c>
      <c r="O54" s="131" t="s">
        <v>458</v>
      </c>
    </row>
    <row r="55" spans="1:15" x14ac:dyDescent="0.35">
      <c r="A55" s="18" t="s">
        <v>459</v>
      </c>
      <c r="B55" s="18" t="s">
        <v>460</v>
      </c>
      <c r="C55" s="19">
        <v>33111.18</v>
      </c>
      <c r="D55" s="19">
        <v>41961.17</v>
      </c>
      <c r="E55" s="204">
        <v>45530</v>
      </c>
      <c r="F55" s="19">
        <v>68770.13</v>
      </c>
      <c r="G55" s="19">
        <v>47500</v>
      </c>
      <c r="H55" s="19">
        <v>49806.98</v>
      </c>
      <c r="I55" s="87">
        <v>58000</v>
      </c>
      <c r="J55" s="19">
        <v>0</v>
      </c>
      <c r="K55" s="87">
        <v>60000</v>
      </c>
      <c r="L55" s="198">
        <v>60000</v>
      </c>
      <c r="M55" s="199">
        <v>62000</v>
      </c>
      <c r="N55" s="58" t="s">
        <v>461</v>
      </c>
      <c r="O55" s="131"/>
    </row>
    <row r="56" spans="1:15" x14ac:dyDescent="0.35">
      <c r="A56" s="18" t="s">
        <v>462</v>
      </c>
      <c r="B56" s="18" t="s">
        <v>463</v>
      </c>
      <c r="C56" s="19">
        <v>1223.9100000000001</v>
      </c>
      <c r="D56" s="19">
        <v>14289.48</v>
      </c>
      <c r="E56" s="204">
        <v>17850</v>
      </c>
      <c r="F56" s="19">
        <v>14856.95</v>
      </c>
      <c r="G56" s="19">
        <v>17850</v>
      </c>
      <c r="H56" s="19">
        <v>13107.94</v>
      </c>
      <c r="I56" s="66">
        <v>15000</v>
      </c>
      <c r="J56" s="19">
        <v>6194.32</v>
      </c>
      <c r="K56" s="66">
        <v>15000</v>
      </c>
      <c r="L56" s="198">
        <v>0</v>
      </c>
      <c r="M56" s="207">
        <v>0</v>
      </c>
      <c r="N56" s="58"/>
    </row>
    <row r="57" spans="1:15" x14ac:dyDescent="0.35">
      <c r="A57" s="18" t="s">
        <v>464</v>
      </c>
      <c r="B57" s="18" t="s">
        <v>465</v>
      </c>
      <c r="C57" s="19">
        <v>4458.4799999999996</v>
      </c>
      <c r="D57" s="19">
        <v>12389.67</v>
      </c>
      <c r="E57" s="204">
        <v>16950</v>
      </c>
      <c r="F57" s="19">
        <v>16531.32</v>
      </c>
      <c r="G57" s="19">
        <v>16950</v>
      </c>
      <c r="H57" s="19">
        <v>14584.36</v>
      </c>
      <c r="I57" s="66">
        <v>16200</v>
      </c>
      <c r="J57" s="19">
        <v>-3621.29</v>
      </c>
      <c r="K57" s="66">
        <v>16200</v>
      </c>
      <c r="L57" s="198">
        <v>0</v>
      </c>
      <c r="M57" s="207">
        <v>0</v>
      </c>
      <c r="N57" s="58"/>
      <c r="O57" s="56" t="s">
        <v>466</v>
      </c>
    </row>
    <row r="58" spans="1:15" x14ac:dyDescent="0.35">
      <c r="A58" s="18" t="s">
        <v>467</v>
      </c>
      <c r="B58" s="18" t="s">
        <v>468</v>
      </c>
      <c r="C58" s="19">
        <v>4566.46</v>
      </c>
      <c r="D58" s="19">
        <v>10486.27</v>
      </c>
      <c r="E58" s="204">
        <v>16200</v>
      </c>
      <c r="F58" s="19">
        <v>9129.17</v>
      </c>
      <c r="G58" s="19">
        <v>16200</v>
      </c>
      <c r="H58" s="19">
        <v>13478.17</v>
      </c>
      <c r="I58" s="66">
        <v>15000</v>
      </c>
      <c r="J58" s="19">
        <v>4111.22</v>
      </c>
      <c r="K58" s="66">
        <v>15000</v>
      </c>
      <c r="L58" s="198">
        <v>0</v>
      </c>
      <c r="M58" s="207">
        <v>0</v>
      </c>
      <c r="N58" s="58"/>
    </row>
    <row r="59" spans="1:15" x14ac:dyDescent="0.35">
      <c r="A59" s="18" t="s">
        <v>469</v>
      </c>
      <c r="B59" s="18" t="s">
        <v>470</v>
      </c>
      <c r="C59" s="19">
        <v>5932.9</v>
      </c>
      <c r="D59" s="19">
        <v>4228.83</v>
      </c>
      <c r="E59" s="204">
        <v>15500</v>
      </c>
      <c r="F59" s="19">
        <v>11879.67</v>
      </c>
      <c r="G59" s="19">
        <v>15500</v>
      </c>
      <c r="H59" s="19">
        <v>7972.06</v>
      </c>
      <c r="I59" s="66">
        <v>13800</v>
      </c>
      <c r="J59" s="19">
        <v>5941.06</v>
      </c>
      <c r="K59" s="66">
        <v>13000</v>
      </c>
      <c r="L59" s="236">
        <v>0</v>
      </c>
      <c r="M59" s="207">
        <v>0</v>
      </c>
    </row>
    <row r="60" spans="1:15" x14ac:dyDescent="0.35">
      <c r="A60" s="18" t="s">
        <v>471</v>
      </c>
      <c r="B60" s="18" t="s">
        <v>472</v>
      </c>
      <c r="C60" s="19">
        <v>6796.57</v>
      </c>
      <c r="D60" s="19">
        <v>9018.5400000000009</v>
      </c>
      <c r="E60" s="204">
        <v>16150</v>
      </c>
      <c r="F60" s="19">
        <v>6704.68</v>
      </c>
      <c r="G60" s="19">
        <v>16150</v>
      </c>
      <c r="H60" s="19">
        <v>7748.1</v>
      </c>
      <c r="I60" s="66">
        <v>16150</v>
      </c>
      <c r="J60" s="19">
        <v>3983.72</v>
      </c>
      <c r="K60" s="66">
        <v>13000</v>
      </c>
      <c r="L60" s="236">
        <v>0</v>
      </c>
      <c r="M60" s="207">
        <v>0</v>
      </c>
    </row>
    <row r="61" spans="1:15" x14ac:dyDescent="0.35">
      <c r="A61" s="18" t="s">
        <v>473</v>
      </c>
      <c r="B61" s="18" t="s">
        <v>474</v>
      </c>
      <c r="C61" s="19">
        <v>3632.15</v>
      </c>
      <c r="D61" s="19">
        <v>10740.25</v>
      </c>
      <c r="E61" s="204">
        <v>17850</v>
      </c>
      <c r="F61" s="19">
        <v>11936.15</v>
      </c>
      <c r="G61" s="19">
        <v>17850</v>
      </c>
      <c r="H61" s="19">
        <v>14783.34</v>
      </c>
      <c r="I61" s="66">
        <v>15300</v>
      </c>
      <c r="J61" s="19">
        <v>7772.76</v>
      </c>
      <c r="K61" s="66">
        <v>15300</v>
      </c>
      <c r="L61" s="236">
        <v>0</v>
      </c>
      <c r="M61" s="207">
        <v>0</v>
      </c>
    </row>
    <row r="62" spans="1:15" x14ac:dyDescent="0.35">
      <c r="A62" s="18" t="s">
        <v>475</v>
      </c>
      <c r="B62" s="18" t="s">
        <v>476</v>
      </c>
      <c r="C62" s="19">
        <v>2302.59</v>
      </c>
      <c r="D62" s="19">
        <v>7256.13</v>
      </c>
      <c r="E62" s="204">
        <v>8700</v>
      </c>
      <c r="F62" s="19">
        <v>9016.74</v>
      </c>
      <c r="G62" s="19">
        <v>8700</v>
      </c>
      <c r="H62" s="19">
        <v>7873.06</v>
      </c>
      <c r="I62" s="66">
        <v>10200</v>
      </c>
      <c r="J62" s="19">
        <v>6182.66</v>
      </c>
      <c r="K62" s="66">
        <v>10200</v>
      </c>
      <c r="L62" s="236">
        <v>11000</v>
      </c>
      <c r="M62" s="237">
        <v>11000</v>
      </c>
    </row>
    <row r="63" spans="1:15" x14ac:dyDescent="0.35">
      <c r="A63" s="18" t="s">
        <v>477</v>
      </c>
      <c r="B63" s="18" t="s">
        <v>478</v>
      </c>
      <c r="C63" s="19">
        <v>4475.53</v>
      </c>
      <c r="D63" s="19">
        <v>8672.66</v>
      </c>
      <c r="E63" s="204">
        <v>12200</v>
      </c>
      <c r="F63" s="19">
        <v>14304.68</v>
      </c>
      <c r="G63" s="19">
        <v>12200</v>
      </c>
      <c r="H63" s="19">
        <v>6621.18</v>
      </c>
      <c r="I63" s="66">
        <v>10200</v>
      </c>
      <c r="J63" s="19">
        <v>3765.77</v>
      </c>
      <c r="K63" s="66">
        <v>10200</v>
      </c>
      <c r="L63" s="236">
        <v>11000</v>
      </c>
      <c r="M63" s="237">
        <v>11000</v>
      </c>
    </row>
    <row r="64" spans="1:15" x14ac:dyDescent="0.35">
      <c r="A64" s="18" t="s">
        <v>479</v>
      </c>
      <c r="B64" s="18" t="s">
        <v>480</v>
      </c>
      <c r="C64" s="19">
        <v>1904.54</v>
      </c>
      <c r="D64" s="19">
        <v>7020.88</v>
      </c>
      <c r="E64" s="204">
        <v>14950</v>
      </c>
      <c r="F64" s="19">
        <v>2690.72</v>
      </c>
      <c r="G64" s="19">
        <v>14950</v>
      </c>
      <c r="H64" s="19">
        <v>6208.29</v>
      </c>
      <c r="I64" s="66">
        <v>14950</v>
      </c>
      <c r="J64" s="19">
        <v>3867.11</v>
      </c>
      <c r="K64" s="66">
        <v>12950</v>
      </c>
      <c r="L64" s="236">
        <v>13000</v>
      </c>
      <c r="M64" s="237">
        <v>13000</v>
      </c>
    </row>
    <row r="65" spans="1:15" x14ac:dyDescent="0.35">
      <c r="A65" s="18">
        <v>9001</v>
      </c>
      <c r="B65" s="18" t="s">
        <v>481</v>
      </c>
      <c r="C65" s="19"/>
      <c r="D65" s="19"/>
      <c r="E65" s="204"/>
      <c r="F65" s="19"/>
      <c r="G65" s="19"/>
      <c r="H65" s="19"/>
      <c r="I65" s="66"/>
      <c r="J65" s="8"/>
      <c r="K65" s="66"/>
      <c r="L65" s="236">
        <f>(8*5000)*2</f>
        <v>80000</v>
      </c>
      <c r="M65" s="237">
        <v>80000</v>
      </c>
      <c r="O65" s="56" t="s">
        <v>482</v>
      </c>
    </row>
    <row r="66" spans="1:15" ht="25.5" x14ac:dyDescent="0.35">
      <c r="A66" s="18" t="s">
        <v>483</v>
      </c>
      <c r="B66" s="18" t="s">
        <v>484</v>
      </c>
      <c r="C66" s="19">
        <v>0</v>
      </c>
      <c r="D66" s="19">
        <v>307.38</v>
      </c>
      <c r="E66" s="204">
        <v>2910</v>
      </c>
      <c r="F66" s="19">
        <v>1360.54</v>
      </c>
      <c r="G66" s="19">
        <v>2910</v>
      </c>
      <c r="H66" s="19">
        <v>1145.8800000000001</v>
      </c>
      <c r="I66" s="66">
        <v>2910</v>
      </c>
      <c r="J66" s="19">
        <v>0</v>
      </c>
      <c r="K66" s="66">
        <v>2910</v>
      </c>
      <c r="L66" s="187">
        <v>20000</v>
      </c>
      <c r="M66" s="188">
        <v>20000</v>
      </c>
      <c r="N66" s="34" t="s">
        <v>485</v>
      </c>
      <c r="O66" s="155" t="s">
        <v>486</v>
      </c>
    </row>
    <row r="67" spans="1:15" s="248" customFormat="1" ht="25.5" x14ac:dyDescent="0.35">
      <c r="A67" s="208">
        <v>5427</v>
      </c>
      <c r="B67" s="208" t="s">
        <v>487</v>
      </c>
      <c r="C67" s="209">
        <v>0</v>
      </c>
      <c r="D67" s="209"/>
      <c r="E67" s="210">
        <v>0</v>
      </c>
      <c r="F67" s="209"/>
      <c r="G67" s="209">
        <v>0</v>
      </c>
      <c r="H67" s="19">
        <v>9006.08</v>
      </c>
      <c r="I67" s="211">
        <v>14000</v>
      </c>
      <c r="J67" s="19">
        <v>14819.76</v>
      </c>
      <c r="K67" s="211">
        <v>20000</v>
      </c>
      <c r="L67" s="212">
        <v>24000</v>
      </c>
      <c r="M67" s="213">
        <v>24000</v>
      </c>
      <c r="N67" s="248" t="s">
        <v>488</v>
      </c>
      <c r="O67" s="214" t="s">
        <v>489</v>
      </c>
    </row>
    <row r="68" spans="1:15" ht="13.15" x14ac:dyDescent="0.4">
      <c r="A68" s="9"/>
      <c r="B68" s="9" t="s">
        <v>490</v>
      </c>
      <c r="C68" s="50">
        <f>SUM(C51:C67)</f>
        <v>80117.799999999974</v>
      </c>
      <c r="D68" s="50">
        <v>164189.96</v>
      </c>
      <c r="E68" s="215">
        <f>SUM(E51:E67)</f>
        <v>228865</v>
      </c>
      <c r="F68" s="50">
        <v>197318.02</v>
      </c>
      <c r="G68" s="50">
        <v>232910</v>
      </c>
      <c r="H68" s="50">
        <f t="shared" ref="H68:M68" si="3">SUM(H51:H67)</f>
        <v>189356.45</v>
      </c>
      <c r="I68" s="85">
        <f t="shared" si="3"/>
        <v>247360</v>
      </c>
      <c r="J68" s="85">
        <f t="shared" si="3"/>
        <v>82779.499999999985</v>
      </c>
      <c r="K68" s="85">
        <f>SUM(K51:K67)</f>
        <v>246260</v>
      </c>
      <c r="L68" s="192">
        <f>SUM(L51:L67)</f>
        <v>263500</v>
      </c>
      <c r="M68" s="193">
        <f t="shared" si="3"/>
        <v>268500</v>
      </c>
    </row>
    <row r="69" spans="1:15" ht="13.15" x14ac:dyDescent="0.4">
      <c r="A69" s="9"/>
      <c r="B69" s="9"/>
      <c r="C69" s="27"/>
      <c r="D69" s="27"/>
      <c r="E69" s="27"/>
      <c r="F69" s="27"/>
      <c r="G69" s="27"/>
      <c r="H69" s="50"/>
      <c r="I69" s="87"/>
      <c r="J69" s="87"/>
      <c r="K69" s="87"/>
      <c r="L69" s="236"/>
      <c r="M69" s="237"/>
    </row>
    <row r="70" spans="1:15" ht="13.15" x14ac:dyDescent="0.4">
      <c r="A70" s="9" t="s">
        <v>491</v>
      </c>
      <c r="B70" s="8"/>
      <c r="C70" s="8"/>
      <c r="D70" s="8"/>
      <c r="E70" s="8"/>
      <c r="F70" s="8"/>
      <c r="G70" s="8"/>
      <c r="H70" s="27"/>
      <c r="I70" s="87"/>
      <c r="J70" s="87"/>
      <c r="K70" s="87"/>
      <c r="L70" s="236"/>
      <c r="M70" s="237"/>
    </row>
    <row r="71" spans="1:15" ht="13.15" x14ac:dyDescent="0.4">
      <c r="A71" s="9"/>
      <c r="B71" s="9"/>
      <c r="C71" s="27"/>
      <c r="D71" s="27"/>
      <c r="E71" s="27"/>
      <c r="F71" s="27"/>
      <c r="G71" s="27"/>
      <c r="H71" s="8"/>
      <c r="I71" s="87"/>
      <c r="J71" s="87"/>
      <c r="K71" s="87"/>
      <c r="L71" s="236"/>
      <c r="M71" s="237"/>
    </row>
    <row r="72" spans="1:15" ht="13.15" x14ac:dyDescent="0.4">
      <c r="A72" s="9" t="s">
        <v>492</v>
      </c>
      <c r="B72" s="8"/>
      <c r="C72" s="8"/>
      <c r="D72" s="8"/>
      <c r="E72" s="8"/>
      <c r="F72" s="8"/>
      <c r="G72" s="8"/>
      <c r="H72" s="27"/>
      <c r="I72" s="87"/>
      <c r="J72" s="87"/>
      <c r="K72" s="87"/>
      <c r="L72" s="236"/>
      <c r="M72" s="237"/>
    </row>
    <row r="73" spans="1:15" ht="13.5" customHeight="1" x14ac:dyDescent="0.35">
      <c r="A73" s="18"/>
      <c r="B73" s="18"/>
      <c r="C73" s="28"/>
      <c r="D73" s="28"/>
      <c r="E73" s="28"/>
      <c r="F73" s="28"/>
      <c r="G73" s="28"/>
      <c r="H73" s="8"/>
      <c r="I73" s="87"/>
      <c r="J73" s="87"/>
      <c r="K73" s="87"/>
      <c r="L73" s="236"/>
      <c r="M73" s="237"/>
    </row>
    <row r="74" spans="1:15" ht="13.5" customHeight="1" x14ac:dyDescent="0.35">
      <c r="A74" s="18">
        <v>5005</v>
      </c>
      <c r="B74" s="18" t="s">
        <v>493</v>
      </c>
      <c r="C74" s="28"/>
      <c r="D74" s="28"/>
      <c r="E74" s="28"/>
      <c r="F74" s="28"/>
      <c r="G74" s="28"/>
      <c r="H74" s="8"/>
      <c r="I74" s="87"/>
      <c r="J74" s="19">
        <v>1605.12</v>
      </c>
      <c r="K74" s="87">
        <v>2000</v>
      </c>
      <c r="L74" s="236">
        <v>2000</v>
      </c>
      <c r="M74" s="237">
        <v>2000</v>
      </c>
    </row>
    <row r="75" spans="1:15" x14ac:dyDescent="0.35">
      <c r="A75" s="18" t="s">
        <v>19</v>
      </c>
      <c r="B75" s="18" t="s">
        <v>20</v>
      </c>
      <c r="C75" s="19">
        <v>243.69</v>
      </c>
      <c r="D75" s="19">
        <v>948.08</v>
      </c>
      <c r="E75" s="204">
        <v>2500</v>
      </c>
      <c r="F75" s="19">
        <v>231.09</v>
      </c>
      <c r="G75" s="19">
        <v>1700</v>
      </c>
      <c r="H75" s="19">
        <v>130.58000000000001</v>
      </c>
      <c r="I75" s="87">
        <v>1000</v>
      </c>
      <c r="J75" s="19">
        <v>9.07</v>
      </c>
      <c r="K75" s="87">
        <v>500</v>
      </c>
      <c r="L75" s="236">
        <v>200</v>
      </c>
      <c r="M75" s="237">
        <v>200</v>
      </c>
    </row>
    <row r="76" spans="1:15" x14ac:dyDescent="0.35">
      <c r="A76" s="18" t="s">
        <v>116</v>
      </c>
      <c r="B76" s="18" t="s">
        <v>117</v>
      </c>
      <c r="C76" s="19">
        <v>114.56</v>
      </c>
      <c r="D76" s="19">
        <v>386.4</v>
      </c>
      <c r="E76" s="204">
        <v>1900</v>
      </c>
      <c r="F76" s="19">
        <v>432.62</v>
      </c>
      <c r="G76" s="19">
        <v>1500</v>
      </c>
      <c r="H76" s="19">
        <v>476.6</v>
      </c>
      <c r="I76" s="87">
        <v>1500</v>
      </c>
      <c r="J76" s="19">
        <v>529.98</v>
      </c>
      <c r="K76" s="87">
        <v>1000</v>
      </c>
      <c r="L76" s="236">
        <v>1000</v>
      </c>
      <c r="M76" s="237">
        <v>1000</v>
      </c>
    </row>
    <row r="77" spans="1:15" x14ac:dyDescent="0.35">
      <c r="A77" s="18" t="s">
        <v>22</v>
      </c>
      <c r="B77" s="18" t="s">
        <v>494</v>
      </c>
      <c r="C77" s="19">
        <v>3394.75</v>
      </c>
      <c r="D77" s="19">
        <v>2733.65</v>
      </c>
      <c r="E77" s="204">
        <v>5000</v>
      </c>
      <c r="F77" s="19">
        <v>2555.9</v>
      </c>
      <c r="G77" s="19">
        <v>5000</v>
      </c>
      <c r="H77" s="19">
        <v>3191.2</v>
      </c>
      <c r="I77" s="87">
        <v>4000</v>
      </c>
      <c r="J77" s="19">
        <v>2139.64</v>
      </c>
      <c r="K77" s="87">
        <v>3000</v>
      </c>
      <c r="L77" s="236">
        <v>3000</v>
      </c>
      <c r="M77" s="237">
        <v>3000</v>
      </c>
    </row>
    <row r="78" spans="1:15" x14ac:dyDescent="0.35">
      <c r="A78" s="18" t="s">
        <v>120</v>
      </c>
      <c r="B78" s="18" t="s">
        <v>121</v>
      </c>
      <c r="C78" s="19">
        <v>1999.02</v>
      </c>
      <c r="D78" s="19">
        <v>2579</v>
      </c>
      <c r="E78" s="204">
        <v>2500</v>
      </c>
      <c r="F78" s="19">
        <v>2733.51</v>
      </c>
      <c r="G78" s="19">
        <v>2500</v>
      </c>
      <c r="H78" s="19">
        <v>3131.49</v>
      </c>
      <c r="I78" s="87">
        <v>2500</v>
      </c>
      <c r="J78" s="19">
        <v>5841.18</v>
      </c>
      <c r="K78" s="87">
        <v>3000</v>
      </c>
      <c r="L78" s="236">
        <v>7000</v>
      </c>
      <c r="M78" s="237">
        <v>7500</v>
      </c>
      <c r="O78" s="56" t="s">
        <v>495</v>
      </c>
    </row>
    <row r="79" spans="1:15" x14ac:dyDescent="0.35">
      <c r="A79" s="18">
        <v>5235</v>
      </c>
      <c r="B79" s="18" t="s">
        <v>496</v>
      </c>
      <c r="C79" s="19"/>
      <c r="D79" s="19"/>
      <c r="E79" s="204"/>
      <c r="F79" s="19"/>
      <c r="G79" s="19"/>
      <c r="H79" s="19">
        <v>1020</v>
      </c>
      <c r="I79" s="87"/>
      <c r="J79" s="87"/>
      <c r="K79" s="87"/>
      <c r="L79" s="236"/>
      <c r="M79" s="237"/>
    </row>
    <row r="80" spans="1:15" x14ac:dyDescent="0.35">
      <c r="A80" s="18" t="s">
        <v>69</v>
      </c>
      <c r="B80" s="18" t="s">
        <v>70</v>
      </c>
      <c r="C80" s="19">
        <v>765540.06</v>
      </c>
      <c r="D80" s="19">
        <v>829706.48</v>
      </c>
      <c r="E80" s="204">
        <v>840124</v>
      </c>
      <c r="F80" s="19">
        <v>936019.99</v>
      </c>
      <c r="G80" s="19">
        <v>919172.21</v>
      </c>
      <c r="H80" s="19">
        <v>905648.9</v>
      </c>
      <c r="I80" s="87">
        <v>905167.6</v>
      </c>
      <c r="J80" s="19">
        <v>622208.4</v>
      </c>
      <c r="K80" s="87">
        <f>[1]ManagementFee!C5</f>
        <v>932322.62881150097</v>
      </c>
      <c r="L80" s="198">
        <v>960292.31</v>
      </c>
      <c r="M80" s="199">
        <v>989101.08</v>
      </c>
      <c r="N80" s="58"/>
    </row>
    <row r="81" spans="1:15" x14ac:dyDescent="0.35">
      <c r="A81" s="18" t="s">
        <v>497</v>
      </c>
      <c r="B81" s="18" t="s">
        <v>498</v>
      </c>
      <c r="C81" s="19">
        <v>350</v>
      </c>
      <c r="D81" s="19">
        <v>35</v>
      </c>
      <c r="E81" s="204">
        <v>2500</v>
      </c>
      <c r="F81" s="19">
        <v>391.51</v>
      </c>
      <c r="G81" s="19">
        <v>2500</v>
      </c>
      <c r="H81" s="19">
        <v>448.72</v>
      </c>
      <c r="I81" s="87">
        <v>2500</v>
      </c>
      <c r="J81" s="19">
        <v>223</v>
      </c>
      <c r="K81" s="87">
        <v>1000</v>
      </c>
      <c r="L81" s="236">
        <v>500</v>
      </c>
      <c r="M81" s="237">
        <v>750</v>
      </c>
    </row>
    <row r="82" spans="1:15" x14ac:dyDescent="0.35">
      <c r="A82" s="18" t="s">
        <v>499</v>
      </c>
      <c r="B82" s="18" t="s">
        <v>500</v>
      </c>
      <c r="C82" s="19">
        <v>0</v>
      </c>
      <c r="D82" s="19">
        <v>198.5</v>
      </c>
      <c r="E82" s="204">
        <v>50</v>
      </c>
      <c r="F82" s="19">
        <v>0</v>
      </c>
      <c r="G82" s="19">
        <v>297.75</v>
      </c>
      <c r="H82" s="19">
        <v>118.1</v>
      </c>
      <c r="I82" s="87">
        <v>150</v>
      </c>
      <c r="J82" s="19">
        <v>12.5</v>
      </c>
      <c r="K82" s="87">
        <v>165</v>
      </c>
      <c r="L82" s="236">
        <v>150</v>
      </c>
      <c r="M82" s="237">
        <v>150</v>
      </c>
    </row>
    <row r="83" spans="1:15" x14ac:dyDescent="0.35">
      <c r="A83" s="18" t="s">
        <v>501</v>
      </c>
      <c r="B83" s="18" t="s">
        <v>502</v>
      </c>
      <c r="C83" s="19">
        <v>50995.7</v>
      </c>
      <c r="D83" s="19">
        <v>100388.79</v>
      </c>
      <c r="E83" s="204">
        <v>62328.077777777777</v>
      </c>
      <c r="F83" s="19">
        <v>119884.72</v>
      </c>
      <c r="G83" s="19">
        <v>107296.76</v>
      </c>
      <c r="H83" s="19">
        <v>146712.07999999999</v>
      </c>
      <c r="I83" s="87">
        <v>108000</v>
      </c>
      <c r="J83" s="19">
        <v>137016.99</v>
      </c>
      <c r="K83" s="87">
        <v>129300</v>
      </c>
      <c r="L83" s="236">
        <v>150000</v>
      </c>
      <c r="M83" s="237">
        <v>160000</v>
      </c>
    </row>
    <row r="84" spans="1:15" x14ac:dyDescent="0.35">
      <c r="A84" s="18" t="s">
        <v>503</v>
      </c>
      <c r="B84" s="18" t="s">
        <v>504</v>
      </c>
      <c r="C84" s="19">
        <v>1773.33</v>
      </c>
      <c r="D84" s="19">
        <v>2223.17</v>
      </c>
      <c r="E84" s="204">
        <v>2364.44</v>
      </c>
      <c r="F84" s="19">
        <v>2124.5300000000002</v>
      </c>
      <c r="G84" s="19">
        <v>2400</v>
      </c>
      <c r="H84" s="19">
        <v>1979.23</v>
      </c>
      <c r="I84" s="87">
        <v>2200</v>
      </c>
      <c r="J84" s="19">
        <v>1224.73</v>
      </c>
      <c r="K84" s="87">
        <v>2200</v>
      </c>
      <c r="L84" s="236">
        <v>2000</v>
      </c>
      <c r="M84" s="237">
        <v>2000</v>
      </c>
    </row>
    <row r="85" spans="1:15" x14ac:dyDescent="0.35">
      <c r="A85" s="18" t="s">
        <v>25</v>
      </c>
      <c r="B85" s="18" t="s">
        <v>26</v>
      </c>
      <c r="C85" s="19">
        <v>0</v>
      </c>
      <c r="D85" s="19">
        <v>52</v>
      </c>
      <c r="E85" s="204">
        <v>15</v>
      </c>
      <c r="F85" s="19">
        <v>100</v>
      </c>
      <c r="G85" s="19">
        <v>25</v>
      </c>
      <c r="H85" s="19">
        <v>0</v>
      </c>
      <c r="I85" s="87">
        <v>100</v>
      </c>
      <c r="J85" s="19">
        <v>118</v>
      </c>
      <c r="K85" s="87">
        <v>0</v>
      </c>
      <c r="L85" s="236">
        <v>200</v>
      </c>
      <c r="M85" s="237">
        <v>200</v>
      </c>
    </row>
    <row r="86" spans="1:15" x14ac:dyDescent="0.35">
      <c r="A86" s="18" t="s">
        <v>73</v>
      </c>
      <c r="B86" s="18" t="s">
        <v>28</v>
      </c>
      <c r="C86" s="19">
        <v>0</v>
      </c>
      <c r="D86" s="19">
        <v>105.59</v>
      </c>
      <c r="E86" s="204">
        <v>100</v>
      </c>
      <c r="F86" s="19">
        <v>461.1</v>
      </c>
      <c r="G86" s="19">
        <v>100</v>
      </c>
      <c r="H86" s="19">
        <v>22.95</v>
      </c>
      <c r="I86" s="87">
        <v>250</v>
      </c>
      <c r="J86" s="19">
        <v>82.88</v>
      </c>
      <c r="K86" s="87">
        <v>200</v>
      </c>
      <c r="L86" s="236">
        <v>200</v>
      </c>
      <c r="M86" s="237">
        <v>200</v>
      </c>
    </row>
    <row r="87" spans="1:15" ht="13.5" customHeight="1" x14ac:dyDescent="0.35">
      <c r="A87" s="18" t="s">
        <v>253</v>
      </c>
      <c r="B87" s="18" t="s">
        <v>252</v>
      </c>
      <c r="C87" s="19">
        <v>0</v>
      </c>
      <c r="D87" s="19">
        <v>0</v>
      </c>
      <c r="E87" s="204">
        <v>500</v>
      </c>
      <c r="F87" s="19">
        <v>0</v>
      </c>
      <c r="G87" s="19">
        <v>500</v>
      </c>
      <c r="H87" s="19">
        <v>540</v>
      </c>
      <c r="I87" s="87">
        <v>500</v>
      </c>
      <c r="J87" s="19"/>
      <c r="K87" s="87">
        <v>0</v>
      </c>
      <c r="L87" s="236"/>
      <c r="M87" s="237"/>
    </row>
    <row r="88" spans="1:15" ht="13.5" customHeight="1" x14ac:dyDescent="0.35">
      <c r="A88" s="18">
        <v>5290</v>
      </c>
      <c r="B88" s="18" t="s">
        <v>505</v>
      </c>
      <c r="C88" s="19"/>
      <c r="D88" s="19"/>
      <c r="E88" s="204"/>
      <c r="F88" s="19"/>
      <c r="G88" s="19"/>
      <c r="H88" s="19">
        <v>465.5</v>
      </c>
      <c r="I88" s="87"/>
      <c r="J88" s="19"/>
      <c r="K88" s="87"/>
      <c r="L88" s="236"/>
      <c r="M88" s="237"/>
    </row>
    <row r="89" spans="1:15" ht="13.5" customHeight="1" x14ac:dyDescent="0.35">
      <c r="A89" s="18">
        <v>5295</v>
      </c>
      <c r="B89" s="18" t="s">
        <v>506</v>
      </c>
      <c r="C89" s="19"/>
      <c r="D89" s="19"/>
      <c r="E89" s="204"/>
      <c r="F89" s="19">
        <v>2423.8200000000002</v>
      </c>
      <c r="G89" s="19"/>
      <c r="H89" s="19">
        <v>5000</v>
      </c>
      <c r="I89" s="87"/>
      <c r="J89" s="19"/>
      <c r="K89" s="87">
        <v>0</v>
      </c>
      <c r="L89" s="236"/>
      <c r="M89" s="237"/>
      <c r="N89" s="1" t="s">
        <v>507</v>
      </c>
    </row>
    <row r="90" spans="1:15" x14ac:dyDescent="0.35">
      <c r="A90" s="18" t="s">
        <v>508</v>
      </c>
      <c r="B90" s="18" t="s">
        <v>509</v>
      </c>
      <c r="C90" s="19">
        <v>0</v>
      </c>
      <c r="D90" s="19">
        <v>157.5</v>
      </c>
      <c r="E90" s="204">
        <v>1500</v>
      </c>
      <c r="F90" s="19">
        <v>100.2</v>
      </c>
      <c r="G90" s="19">
        <v>2000</v>
      </c>
      <c r="H90" s="19">
        <v>157.5</v>
      </c>
      <c r="I90" s="87">
        <v>2500</v>
      </c>
      <c r="J90" s="19">
        <v>0</v>
      </c>
      <c r="K90" s="87">
        <v>2500</v>
      </c>
      <c r="L90" s="236"/>
      <c r="M90" s="237"/>
    </row>
    <row r="91" spans="1:15" ht="51" x14ac:dyDescent="0.35">
      <c r="A91" s="18" t="s">
        <v>510</v>
      </c>
      <c r="B91" s="18" t="s">
        <v>511</v>
      </c>
      <c r="C91" s="19">
        <v>19838.22</v>
      </c>
      <c r="D91" s="19">
        <v>27864.27</v>
      </c>
      <c r="E91" s="204">
        <v>70000</v>
      </c>
      <c r="F91" s="19">
        <v>19801.07</v>
      </c>
      <c r="G91" s="19">
        <v>74000</v>
      </c>
      <c r="H91" s="19">
        <v>56672.86</v>
      </c>
      <c r="I91" s="87">
        <f>(12*2000)+50000</f>
        <v>74000</v>
      </c>
      <c r="J91" s="19">
        <v>16918.12</v>
      </c>
      <c r="K91" s="87">
        <v>20000</v>
      </c>
      <c r="L91" s="249">
        <v>31000</v>
      </c>
      <c r="M91" s="250">
        <v>32500</v>
      </c>
      <c r="N91" s="251" t="s">
        <v>512</v>
      </c>
      <c r="O91" s="216" t="s">
        <v>513</v>
      </c>
    </row>
    <row r="92" spans="1:15" ht="25.5" x14ac:dyDescent="0.35">
      <c r="A92" s="18" t="s">
        <v>514</v>
      </c>
      <c r="B92" s="18" t="s">
        <v>515</v>
      </c>
      <c r="C92" s="19">
        <v>43135</v>
      </c>
      <c r="D92" s="19">
        <v>8590</v>
      </c>
      <c r="E92" s="204">
        <v>30000</v>
      </c>
      <c r="F92" s="19">
        <v>6500</v>
      </c>
      <c r="G92" s="19">
        <v>16400</v>
      </c>
      <c r="H92" s="19">
        <v>2500</v>
      </c>
      <c r="I92" s="87">
        <f>(700*12)+5000</f>
        <v>13400</v>
      </c>
      <c r="J92" s="19">
        <v>11883</v>
      </c>
      <c r="K92" s="87">
        <v>16000</v>
      </c>
      <c r="L92" s="249">
        <v>0</v>
      </c>
      <c r="M92" s="250">
        <v>0</v>
      </c>
      <c r="N92" s="251" t="s">
        <v>516</v>
      </c>
      <c r="O92" s="56" t="s">
        <v>517</v>
      </c>
    </row>
    <row r="93" spans="1:15" ht="25.5" x14ac:dyDescent="0.35">
      <c r="A93" s="18" t="s">
        <v>518</v>
      </c>
      <c r="B93" s="18" t="s">
        <v>519</v>
      </c>
      <c r="C93" s="217">
        <v>0</v>
      </c>
      <c r="D93" s="19">
        <v>37619.08</v>
      </c>
      <c r="E93" s="204">
        <v>120600</v>
      </c>
      <c r="F93" s="19">
        <v>68658.259999999995</v>
      </c>
      <c r="G93" s="19">
        <v>117000</v>
      </c>
      <c r="H93" s="19">
        <v>99055.02</v>
      </c>
      <c r="I93" s="87">
        <v>120000</v>
      </c>
      <c r="J93" s="19">
        <v>68341.45</v>
      </c>
      <c r="K93" s="87">
        <v>125000</v>
      </c>
      <c r="L93" s="198">
        <v>135000</v>
      </c>
      <c r="M93" s="207">
        <v>145800</v>
      </c>
      <c r="N93" s="251" t="s">
        <v>520</v>
      </c>
      <c r="O93" s="252" t="s">
        <v>520</v>
      </c>
    </row>
    <row r="94" spans="1:15" x14ac:dyDescent="0.35">
      <c r="A94" s="218">
        <v>5314</v>
      </c>
      <c r="B94" s="218" t="s">
        <v>521</v>
      </c>
      <c r="C94" s="219"/>
      <c r="D94" s="220"/>
      <c r="E94" s="221"/>
      <c r="F94" s="220"/>
      <c r="G94" s="220"/>
      <c r="H94" s="220"/>
      <c r="I94" s="222"/>
      <c r="J94" s="19">
        <v>34587.97</v>
      </c>
      <c r="K94" s="222">
        <v>84000</v>
      </c>
      <c r="L94" s="253">
        <v>84000</v>
      </c>
      <c r="M94" s="254">
        <v>84000</v>
      </c>
      <c r="N94" s="255" t="s">
        <v>522</v>
      </c>
      <c r="O94" s="56" t="s">
        <v>523</v>
      </c>
    </row>
    <row r="95" spans="1:15" x14ac:dyDescent="0.35">
      <c r="A95" s="218">
        <v>9002</v>
      </c>
      <c r="B95" s="218" t="s">
        <v>618</v>
      </c>
      <c r="C95" s="219"/>
      <c r="D95" s="220"/>
      <c r="E95" s="221"/>
      <c r="F95" s="220"/>
      <c r="G95" s="220"/>
      <c r="H95" s="220"/>
      <c r="I95" s="222"/>
      <c r="J95" s="19"/>
      <c r="K95" s="222"/>
      <c r="L95" s="253">
        <v>8000</v>
      </c>
      <c r="M95" s="254">
        <v>9000</v>
      </c>
      <c r="N95" s="130"/>
    </row>
    <row r="96" spans="1:15" x14ac:dyDescent="0.35">
      <c r="A96" s="218">
        <v>9003</v>
      </c>
      <c r="B96" s="218" t="s">
        <v>524</v>
      </c>
      <c r="C96" s="219"/>
      <c r="D96" s="220"/>
      <c r="E96" s="221"/>
      <c r="F96" s="220"/>
      <c r="G96" s="220"/>
      <c r="H96" s="220"/>
      <c r="I96" s="222"/>
      <c r="J96" s="19"/>
      <c r="K96" s="222"/>
      <c r="L96" s="253" t="s">
        <v>525</v>
      </c>
      <c r="M96" s="254" t="s">
        <v>526</v>
      </c>
      <c r="N96" s="130"/>
      <c r="O96" s="56" t="s">
        <v>527</v>
      </c>
    </row>
    <row r="97" spans="1:15" x14ac:dyDescent="0.35">
      <c r="A97" s="208">
        <v>5317</v>
      </c>
      <c r="B97" s="208" t="s">
        <v>528</v>
      </c>
      <c r="C97" s="219"/>
      <c r="D97" s="220"/>
      <c r="E97" s="221"/>
      <c r="F97" s="220"/>
      <c r="G97" s="220"/>
      <c r="H97" s="220"/>
      <c r="I97" s="222"/>
      <c r="J97" s="19">
        <v>500</v>
      </c>
      <c r="K97" s="222"/>
      <c r="L97" s="253"/>
      <c r="M97" s="254"/>
      <c r="N97" s="130"/>
    </row>
    <row r="98" spans="1:15" ht="13.15" x14ac:dyDescent="0.4">
      <c r="A98" s="9"/>
      <c r="B98" s="9" t="s">
        <v>529</v>
      </c>
      <c r="C98" s="50">
        <v>887874.32</v>
      </c>
      <c r="D98" s="50">
        <v>1013587.51</v>
      </c>
      <c r="E98" s="50">
        <f>SUM(E73:E93)</f>
        <v>1141981.5177777777</v>
      </c>
      <c r="F98" s="50">
        <v>1163624.22</v>
      </c>
      <c r="G98" s="50">
        <v>1252391.72</v>
      </c>
      <c r="H98" s="50">
        <f>SUM(H75:H93)</f>
        <v>1227270.73</v>
      </c>
      <c r="I98" s="85">
        <f>SUM(I75:I93)</f>
        <v>1237767.6000000001</v>
      </c>
      <c r="J98" s="85">
        <f>SUM(J74:J97)</f>
        <v>903242.02999999991</v>
      </c>
      <c r="K98" s="85">
        <f>SUM(K74:K94)</f>
        <v>1322187.628811501</v>
      </c>
      <c r="L98" s="85">
        <f>SUM(L74:L97)</f>
        <v>1384542.31</v>
      </c>
      <c r="M98" s="85">
        <f>SUM(M75:M94)</f>
        <v>1426401.08</v>
      </c>
      <c r="N98" s="34"/>
    </row>
    <row r="99" spans="1:15" ht="13.15" x14ac:dyDescent="0.4">
      <c r="A99" s="9"/>
      <c r="B99" s="9"/>
      <c r="C99" s="27"/>
      <c r="D99" s="27"/>
      <c r="E99" s="27"/>
      <c r="F99" s="27"/>
      <c r="G99" s="27"/>
      <c r="H99" s="50"/>
      <c r="I99" s="87"/>
      <c r="J99" s="87"/>
      <c r="K99" s="85"/>
      <c r="L99" s="110"/>
      <c r="M99" s="234"/>
    </row>
    <row r="100" spans="1:15" ht="13.15" x14ac:dyDescent="0.4">
      <c r="A100" s="9" t="s">
        <v>530</v>
      </c>
      <c r="B100" s="8"/>
      <c r="C100" s="8"/>
      <c r="D100" s="8"/>
      <c r="E100" s="8"/>
      <c r="F100" s="8"/>
      <c r="G100" s="8"/>
      <c r="H100" s="27"/>
      <c r="I100" s="87"/>
      <c r="J100" s="87"/>
      <c r="K100" s="87"/>
      <c r="L100" s="110"/>
      <c r="M100" s="234"/>
    </row>
    <row r="101" spans="1:15" x14ac:dyDescent="0.35">
      <c r="A101" s="18"/>
      <c r="B101" s="18"/>
      <c r="C101" s="28"/>
      <c r="D101" s="28"/>
      <c r="E101" s="28"/>
      <c r="F101" s="28"/>
      <c r="G101" s="28"/>
      <c r="H101" s="8"/>
      <c r="I101" s="87"/>
      <c r="J101" s="87"/>
      <c r="K101" s="87"/>
      <c r="L101" s="110"/>
      <c r="M101" s="234"/>
    </row>
    <row r="102" spans="1:15" x14ac:dyDescent="0.35">
      <c r="A102" s="18" t="s">
        <v>86</v>
      </c>
      <c r="B102" s="18" t="s">
        <v>531</v>
      </c>
      <c r="C102" s="19">
        <v>2925</v>
      </c>
      <c r="D102" s="19">
        <v>17700</v>
      </c>
      <c r="E102" s="204">
        <v>25000</v>
      </c>
      <c r="F102" s="19">
        <v>9400</v>
      </c>
      <c r="G102" s="19">
        <v>20000</v>
      </c>
      <c r="H102" s="19">
        <v>11675</v>
      </c>
      <c r="I102" s="87">
        <v>22000</v>
      </c>
      <c r="J102" s="19">
        <v>16000</v>
      </c>
      <c r="K102" s="87">
        <v>15000</v>
      </c>
      <c r="L102" s="256">
        <v>20000</v>
      </c>
      <c r="M102" s="257">
        <v>20000</v>
      </c>
      <c r="N102" s="197"/>
      <c r="O102" s="197" t="s">
        <v>532</v>
      </c>
    </row>
    <row r="103" spans="1:15" x14ac:dyDescent="0.35">
      <c r="A103" s="218">
        <v>9004</v>
      </c>
      <c r="B103" s="218" t="s">
        <v>533</v>
      </c>
      <c r="C103" s="19"/>
      <c r="D103" s="19"/>
      <c r="E103" s="204"/>
      <c r="F103" s="19"/>
      <c r="G103" s="19"/>
      <c r="H103" s="19"/>
      <c r="I103" s="87"/>
      <c r="J103" s="19"/>
      <c r="K103" s="87"/>
      <c r="L103" s="258">
        <v>60000</v>
      </c>
      <c r="M103" s="259">
        <v>60000</v>
      </c>
      <c r="N103" s="197"/>
      <c r="O103" s="197" t="s">
        <v>533</v>
      </c>
    </row>
    <row r="104" spans="1:15" x14ac:dyDescent="0.35">
      <c r="A104" s="18" t="s">
        <v>55</v>
      </c>
      <c r="B104" s="18" t="s">
        <v>56</v>
      </c>
      <c r="C104" s="19">
        <v>25944</v>
      </c>
      <c r="D104" s="19">
        <v>24457</v>
      </c>
      <c r="E104" s="204">
        <v>35000</v>
      </c>
      <c r="F104" s="19">
        <v>30893</v>
      </c>
      <c r="G104" s="19">
        <v>35000</v>
      </c>
      <c r="H104" s="19">
        <v>28315</v>
      </c>
      <c r="I104" s="87">
        <v>35000</v>
      </c>
      <c r="J104" s="19">
        <v>14562.5</v>
      </c>
      <c r="K104" s="87">
        <v>40000</v>
      </c>
      <c r="L104" s="110">
        <v>40000</v>
      </c>
      <c r="M104" s="234"/>
      <c r="N104" s="260" t="s">
        <v>534</v>
      </c>
    </row>
    <row r="105" spans="1:15" x14ac:dyDescent="0.35">
      <c r="A105" s="18">
        <v>5555</v>
      </c>
      <c r="B105" s="18" t="s">
        <v>535</v>
      </c>
      <c r="C105" s="19"/>
      <c r="D105" s="19"/>
      <c r="E105" s="204"/>
      <c r="F105" s="19"/>
      <c r="G105" s="19"/>
      <c r="H105" s="19"/>
      <c r="I105" s="87"/>
      <c r="J105" s="19">
        <v>40996.14</v>
      </c>
      <c r="K105" s="87"/>
      <c r="L105" s="110"/>
      <c r="M105" s="261"/>
    </row>
    <row r="106" spans="1:15" ht="13.15" x14ac:dyDescent="0.4">
      <c r="A106" s="9"/>
      <c r="B106" s="9" t="s">
        <v>536</v>
      </c>
      <c r="C106" s="50">
        <v>28869</v>
      </c>
      <c r="D106" s="50">
        <v>42157</v>
      </c>
      <c r="E106" s="50">
        <f>SUM(E102:E104)</f>
        <v>60000</v>
      </c>
      <c r="F106" s="50">
        <v>40293</v>
      </c>
      <c r="G106" s="50">
        <v>55000</v>
      </c>
      <c r="H106" s="50">
        <f>SUM(H102:H104)</f>
        <v>39990</v>
      </c>
      <c r="I106" s="85">
        <f>SUM(I102:I104)</f>
        <v>57000</v>
      </c>
      <c r="J106" s="85">
        <f>SUM(J102:J105)</f>
        <v>71558.64</v>
      </c>
      <c r="K106" s="85">
        <f>SUM(K102:K104)</f>
        <v>55000</v>
      </c>
      <c r="L106" s="85">
        <f>SUM(L102:L105)</f>
        <v>120000</v>
      </c>
      <c r="M106" s="85">
        <f>SUM(M102:M104)</f>
        <v>80000</v>
      </c>
    </row>
    <row r="107" spans="1:15" ht="13.15" x14ac:dyDescent="0.4">
      <c r="A107" s="18"/>
      <c r="B107" s="18"/>
      <c r="C107" s="28"/>
      <c r="D107" s="28"/>
      <c r="E107" s="28"/>
      <c r="F107" s="28"/>
      <c r="G107" s="28"/>
      <c r="H107" s="28"/>
      <c r="I107" s="87"/>
      <c r="J107" s="87"/>
      <c r="K107" s="85"/>
      <c r="L107" s="110"/>
      <c r="M107" s="234"/>
    </row>
    <row r="108" spans="1:15" ht="13.15" x14ac:dyDescent="0.4">
      <c r="A108" s="9"/>
      <c r="B108" s="9" t="s">
        <v>537</v>
      </c>
      <c r="C108" s="50">
        <v>1017615.91</v>
      </c>
      <c r="D108" s="50">
        <v>1245216.04</v>
      </c>
      <c r="E108" s="50">
        <v>1467896.52</v>
      </c>
      <c r="F108" s="50">
        <v>1419924.51</v>
      </c>
      <c r="G108" s="50">
        <v>1580376.72</v>
      </c>
      <c r="H108" s="50">
        <f t="shared" ref="H108:M108" si="4">H106+H98+H68+H47</f>
        <v>1474497.42</v>
      </c>
      <c r="I108" s="50">
        <f t="shared" si="4"/>
        <v>1581177.6</v>
      </c>
      <c r="J108" s="50">
        <f t="shared" si="4"/>
        <v>1091440.67</v>
      </c>
      <c r="K108" s="50">
        <f>K106+K98+K68+K47</f>
        <v>1651597.628811501</v>
      </c>
      <c r="L108" s="77">
        <f>L106+L98+L68+L47</f>
        <v>1805042.31</v>
      </c>
      <c r="M108" s="50">
        <f t="shared" si="4"/>
        <v>1813401.08</v>
      </c>
    </row>
    <row r="109" spans="1:15" ht="13.15" x14ac:dyDescent="0.4">
      <c r="A109" s="9"/>
      <c r="B109" s="9"/>
      <c r="C109" s="27"/>
      <c r="D109" s="27"/>
      <c r="E109" s="27"/>
      <c r="F109" s="27"/>
      <c r="G109" s="27"/>
      <c r="H109" s="50"/>
      <c r="I109" s="87"/>
      <c r="J109" s="87"/>
      <c r="K109" s="50"/>
      <c r="L109" s="110"/>
      <c r="M109" s="234"/>
    </row>
    <row r="110" spans="1:15" ht="13.15" x14ac:dyDescent="0.4">
      <c r="A110" s="9"/>
      <c r="B110" s="9" t="s">
        <v>65</v>
      </c>
      <c r="C110" s="50">
        <v>906561.08</v>
      </c>
      <c r="D110" s="50">
        <v>655833.19999999995</v>
      </c>
      <c r="E110" s="50">
        <v>283852.93</v>
      </c>
      <c r="F110" s="85">
        <f>F34-F108</f>
        <v>221381.49</v>
      </c>
      <c r="G110" s="50">
        <v>368690.79</v>
      </c>
      <c r="H110" s="85">
        <f t="shared" ref="H110:M110" si="5">H34-H108</f>
        <v>863601.33999999985</v>
      </c>
      <c r="I110" s="85">
        <f t="shared" si="5"/>
        <v>439605.66999999993</v>
      </c>
      <c r="J110" s="85">
        <f t="shared" si="5"/>
        <v>895416.53</v>
      </c>
      <c r="K110" s="85">
        <f t="shared" si="5"/>
        <v>588443.87118849903</v>
      </c>
      <c r="L110" s="85">
        <f t="shared" si="5"/>
        <v>439307.68999999994</v>
      </c>
      <c r="M110" s="85">
        <f t="shared" si="5"/>
        <v>532754.91999999993</v>
      </c>
      <c r="N110" s="223"/>
    </row>
    <row r="111" spans="1:15" ht="13.15" x14ac:dyDescent="0.4">
      <c r="A111" s="18"/>
      <c r="B111" s="18"/>
      <c r="C111" s="28"/>
      <c r="D111" s="28"/>
      <c r="E111" s="28"/>
      <c r="F111" s="28"/>
      <c r="G111" s="28"/>
      <c r="H111" s="50"/>
      <c r="I111" s="87"/>
      <c r="J111" s="87"/>
      <c r="K111" s="8"/>
      <c r="L111" s="110"/>
      <c r="M111" s="234"/>
    </row>
    <row r="112" spans="1:15" ht="13.15" x14ac:dyDescent="0.4">
      <c r="H112" s="184"/>
      <c r="I112" s="223"/>
      <c r="J112" s="223"/>
      <c r="K112" s="224"/>
    </row>
  </sheetData>
  <mergeCells count="3">
    <mergeCell ref="A1:I1"/>
    <mergeCell ref="A5:G5"/>
    <mergeCell ref="A22:G22"/>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D04FF-B41B-4EED-823E-C9310BDF2A6B}">
  <dimension ref="A1:P27"/>
  <sheetViews>
    <sheetView topLeftCell="C1" zoomScale="90" zoomScaleNormal="90" workbookViewId="0">
      <selection activeCell="K25" sqref="K25"/>
    </sheetView>
  </sheetViews>
  <sheetFormatPr defaultColWidth="9.19921875" defaultRowHeight="12.75" x14ac:dyDescent="0.35"/>
  <cols>
    <col min="1" max="1" width="9.46484375" style="58" customWidth="1"/>
    <col min="2" max="2" width="26.46484375" style="58" customWidth="1"/>
    <col min="3" max="5" width="12.59765625" style="58" customWidth="1"/>
    <col min="6" max="7" width="14.46484375" style="58" customWidth="1"/>
    <col min="8" max="8" width="13" style="58" customWidth="1"/>
    <col min="9" max="13" width="16.59765625" style="58" customWidth="1"/>
    <col min="14" max="14" width="32.19921875" style="34" customWidth="1"/>
    <col min="15" max="15" width="26.796875" style="155" customWidth="1"/>
    <col min="16" max="16384" width="9.19921875" style="58"/>
  </cols>
  <sheetData>
    <row r="1" spans="1:16" ht="13.15" x14ac:dyDescent="0.4">
      <c r="A1" s="445" t="s">
        <v>372</v>
      </c>
      <c r="B1" s="445"/>
      <c r="C1" s="445"/>
      <c r="D1" s="445"/>
      <c r="E1" s="445"/>
      <c r="F1" s="445"/>
      <c r="G1" s="445"/>
      <c r="H1" s="445"/>
      <c r="I1" s="445"/>
      <c r="J1" s="54"/>
      <c r="K1" s="54"/>
      <c r="L1" s="54"/>
      <c r="M1" s="54"/>
      <c r="N1" s="189"/>
    </row>
    <row r="2" spans="1:16" ht="13.15" x14ac:dyDescent="0.4">
      <c r="A2" s="57" t="s">
        <v>1</v>
      </c>
      <c r="C2" s="57">
        <v>2021</v>
      </c>
      <c r="D2" s="57">
        <v>2022</v>
      </c>
      <c r="E2" s="57">
        <v>2022</v>
      </c>
      <c r="F2" s="57">
        <v>2023</v>
      </c>
      <c r="G2" s="57">
        <v>2023</v>
      </c>
      <c r="H2" s="57">
        <v>2024</v>
      </c>
      <c r="I2" s="57">
        <v>2024</v>
      </c>
      <c r="J2" s="59">
        <v>45870</v>
      </c>
      <c r="K2" s="57">
        <v>2025</v>
      </c>
      <c r="L2" s="57">
        <v>2026</v>
      </c>
      <c r="M2" s="57">
        <v>2027</v>
      </c>
      <c r="N2" s="180" t="s">
        <v>3</v>
      </c>
      <c r="O2" s="357" t="s">
        <v>4</v>
      </c>
      <c r="P2" s="58" t="s">
        <v>371</v>
      </c>
    </row>
    <row r="3" spans="1:16" ht="13.15" x14ac:dyDescent="0.4">
      <c r="A3" s="225" t="s">
        <v>5</v>
      </c>
      <c r="B3" s="225" t="s">
        <v>6</v>
      </c>
      <c r="C3" s="225" t="s">
        <v>7</v>
      </c>
      <c r="D3" s="225" t="s">
        <v>8</v>
      </c>
      <c r="E3" s="225" t="s">
        <v>7</v>
      </c>
      <c r="F3" s="225" t="s">
        <v>10</v>
      </c>
      <c r="G3" s="225" t="s">
        <v>9</v>
      </c>
      <c r="H3" s="226" t="s">
        <v>280</v>
      </c>
      <c r="I3" s="226" t="s">
        <v>9</v>
      </c>
      <c r="J3" s="226" t="s">
        <v>11</v>
      </c>
      <c r="K3" s="226" t="s">
        <v>7</v>
      </c>
      <c r="L3" s="226" t="s">
        <v>7</v>
      </c>
      <c r="M3" s="226" t="s">
        <v>7</v>
      </c>
      <c r="N3" s="358"/>
    </row>
    <row r="4" spans="1:16" ht="13.15" x14ac:dyDescent="0.4">
      <c r="A4" s="449" t="s">
        <v>12</v>
      </c>
      <c r="B4" s="450"/>
      <c r="C4" s="450"/>
      <c r="D4" s="450"/>
      <c r="E4" s="450"/>
      <c r="F4" s="450"/>
      <c r="G4" s="450"/>
    </row>
    <row r="5" spans="1:16" ht="13.15" x14ac:dyDescent="0.4">
      <c r="A5" s="344"/>
      <c r="B5" s="344"/>
      <c r="C5" s="353"/>
      <c r="D5" s="353"/>
      <c r="E5" s="353"/>
      <c r="F5" s="353"/>
      <c r="G5" s="353"/>
      <c r="H5" s="353"/>
    </row>
    <row r="6" spans="1:16" ht="13.15" x14ac:dyDescent="0.4">
      <c r="A6" s="451" t="s">
        <v>18</v>
      </c>
      <c r="B6" s="452"/>
      <c r="C6" s="452"/>
      <c r="D6" s="452"/>
      <c r="E6" s="452"/>
      <c r="F6" s="452"/>
      <c r="G6" s="452"/>
      <c r="H6" s="114"/>
      <c r="I6" s="114"/>
      <c r="J6" s="3"/>
      <c r="K6" s="3"/>
      <c r="L6" s="3"/>
      <c r="M6" s="3"/>
    </row>
    <row r="7" spans="1:16" x14ac:dyDescent="0.35">
      <c r="A7" s="18" t="s">
        <v>370</v>
      </c>
      <c r="B7" s="18" t="s">
        <v>369</v>
      </c>
      <c r="C7" s="359">
        <v>1099.95</v>
      </c>
      <c r="D7" s="359">
        <v>0</v>
      </c>
      <c r="E7" s="360">
        <v>3000</v>
      </c>
      <c r="F7" s="359">
        <v>0</v>
      </c>
      <c r="G7" s="359">
        <v>3000</v>
      </c>
      <c r="H7" s="359">
        <v>1584.23</v>
      </c>
      <c r="I7" s="361">
        <v>2500</v>
      </c>
      <c r="J7" s="359"/>
      <c r="K7" s="359">
        <v>3000</v>
      </c>
      <c r="L7" s="359">
        <v>3000</v>
      </c>
      <c r="M7" s="359">
        <v>3000</v>
      </c>
      <c r="N7" s="34" t="s">
        <v>368</v>
      </c>
      <c r="O7" s="155" t="s">
        <v>368</v>
      </c>
      <c r="P7" s="58" t="s">
        <v>630</v>
      </c>
    </row>
    <row r="8" spans="1:16" x14ac:dyDescent="0.35">
      <c r="A8" s="18" t="s">
        <v>217</v>
      </c>
      <c r="B8" s="18" t="s">
        <v>218</v>
      </c>
      <c r="C8" s="359">
        <v>2189.58</v>
      </c>
      <c r="D8" s="359">
        <v>3019.87</v>
      </c>
      <c r="E8" s="360">
        <v>5000</v>
      </c>
      <c r="F8" s="359">
        <v>8951.31</v>
      </c>
      <c r="G8" s="359">
        <v>4500</v>
      </c>
      <c r="H8" s="359">
        <v>5084.47</v>
      </c>
      <c r="I8" s="361">
        <v>4250</v>
      </c>
      <c r="J8" s="359"/>
      <c r="K8" s="359">
        <v>5000</v>
      </c>
      <c r="L8" s="359">
        <v>5100</v>
      </c>
      <c r="M8" s="359">
        <f>L8*1.3</f>
        <v>6630</v>
      </c>
      <c r="N8" s="34" t="s">
        <v>367</v>
      </c>
      <c r="O8" s="155" t="s">
        <v>367</v>
      </c>
      <c r="P8" s="58" t="s">
        <v>366</v>
      </c>
    </row>
    <row r="9" spans="1:16" x14ac:dyDescent="0.35">
      <c r="A9" s="18" t="s">
        <v>365</v>
      </c>
      <c r="B9" s="18" t="s">
        <v>364</v>
      </c>
      <c r="C9" s="359">
        <v>0</v>
      </c>
      <c r="D9" s="359">
        <v>0</v>
      </c>
      <c r="E9" s="360">
        <v>350</v>
      </c>
      <c r="F9" s="359">
        <v>0</v>
      </c>
      <c r="G9" s="359">
        <v>350</v>
      </c>
      <c r="H9" s="359">
        <v>0</v>
      </c>
      <c r="I9" s="361">
        <v>350</v>
      </c>
      <c r="J9" s="359"/>
      <c r="K9" s="359">
        <v>150</v>
      </c>
      <c r="L9" s="359">
        <v>150</v>
      </c>
      <c r="M9" s="359">
        <v>150</v>
      </c>
    </row>
    <row r="10" spans="1:16" ht="25.5" x14ac:dyDescent="0.35">
      <c r="A10" s="18" t="s">
        <v>19</v>
      </c>
      <c r="B10" s="18" t="s">
        <v>20</v>
      </c>
      <c r="C10" s="359">
        <v>2868.95</v>
      </c>
      <c r="D10" s="359">
        <v>6419.21</v>
      </c>
      <c r="E10" s="360">
        <v>5000</v>
      </c>
      <c r="F10" s="359">
        <v>6724.72</v>
      </c>
      <c r="G10" s="359">
        <v>5125</v>
      </c>
      <c r="H10" s="359">
        <v>5663.58</v>
      </c>
      <c r="I10" s="361">
        <v>8500</v>
      </c>
      <c r="J10" s="359">
        <v>4401.18</v>
      </c>
      <c r="K10" s="359">
        <v>8500</v>
      </c>
      <c r="L10" s="359">
        <v>8500</v>
      </c>
      <c r="M10" s="359">
        <f>L10*1.03</f>
        <v>8755</v>
      </c>
      <c r="O10" s="155" t="s">
        <v>363</v>
      </c>
    </row>
    <row r="11" spans="1:16" x14ac:dyDescent="0.35">
      <c r="A11" s="18" t="s">
        <v>22</v>
      </c>
      <c r="B11" s="18" t="s">
        <v>23</v>
      </c>
      <c r="C11" s="359">
        <v>6325.17</v>
      </c>
      <c r="D11" s="359">
        <v>1573.21</v>
      </c>
      <c r="E11" s="360">
        <v>7000</v>
      </c>
      <c r="F11" s="359">
        <v>1676.04</v>
      </c>
      <c r="G11" s="359">
        <v>7500</v>
      </c>
      <c r="H11" s="359">
        <v>2463.98</v>
      </c>
      <c r="I11" s="361">
        <v>3000</v>
      </c>
      <c r="J11" s="359">
        <v>4559.99</v>
      </c>
      <c r="K11" s="359">
        <v>3000</v>
      </c>
      <c r="L11" s="359">
        <v>6900</v>
      </c>
      <c r="M11" s="359">
        <f>L11*1.03</f>
        <v>7107</v>
      </c>
    </row>
    <row r="12" spans="1:16" x14ac:dyDescent="0.35">
      <c r="A12" s="18" t="s">
        <v>69</v>
      </c>
      <c r="B12" s="18" t="s">
        <v>70</v>
      </c>
      <c r="C12" s="359">
        <v>47208.31</v>
      </c>
      <c r="D12" s="359">
        <v>75825</v>
      </c>
      <c r="E12" s="360">
        <f>58350+120600</f>
        <v>178950</v>
      </c>
      <c r="F12" s="359">
        <v>101100</v>
      </c>
      <c r="G12" s="359">
        <v>114139.04</v>
      </c>
      <c r="H12" s="359">
        <v>117563.16</v>
      </c>
      <c r="I12" s="361">
        <v>117563.21</v>
      </c>
      <c r="J12" s="359">
        <v>80726.720000000001</v>
      </c>
      <c r="K12" s="359">
        <f>'[2]Management Fees'!J10</f>
        <v>121090.09576335664</v>
      </c>
      <c r="L12" s="359">
        <f>K12*1.03</f>
        <v>124722.79863625734</v>
      </c>
      <c r="M12" s="359">
        <f>L12*1.03</f>
        <v>128464.48259534506</v>
      </c>
    </row>
    <row r="13" spans="1:16" x14ac:dyDescent="0.35">
      <c r="A13" s="18" t="s">
        <v>253</v>
      </c>
      <c r="B13" s="18" t="s">
        <v>252</v>
      </c>
      <c r="C13" s="359">
        <v>0</v>
      </c>
      <c r="D13" s="359">
        <v>0</v>
      </c>
      <c r="E13" s="360">
        <v>1000</v>
      </c>
      <c r="F13" s="359">
        <v>0</v>
      </c>
      <c r="G13" s="359">
        <v>500</v>
      </c>
      <c r="H13" s="359">
        <v>0</v>
      </c>
      <c r="I13" s="361">
        <v>500</v>
      </c>
      <c r="J13" s="359"/>
      <c r="K13" s="359">
        <v>250</v>
      </c>
      <c r="L13" s="359">
        <v>0</v>
      </c>
      <c r="M13" s="359">
        <v>0</v>
      </c>
    </row>
    <row r="14" spans="1:16" x14ac:dyDescent="0.35">
      <c r="A14" s="18">
        <v>5295</v>
      </c>
      <c r="B14" s="18" t="s">
        <v>362</v>
      </c>
      <c r="C14" s="359">
        <v>1477</v>
      </c>
      <c r="D14" s="359">
        <v>3132</v>
      </c>
      <c r="E14" s="360">
        <v>4000</v>
      </c>
      <c r="F14" s="359">
        <v>3132</v>
      </c>
      <c r="G14" s="359">
        <v>4000</v>
      </c>
      <c r="H14" s="359">
        <v>4732.8999999999996</v>
      </c>
      <c r="I14" s="361">
        <v>4500</v>
      </c>
      <c r="J14" s="359"/>
      <c r="K14" s="359">
        <v>4000</v>
      </c>
      <c r="L14" s="359">
        <v>4000</v>
      </c>
      <c r="M14" s="359">
        <v>4000</v>
      </c>
    </row>
    <row r="15" spans="1:16" ht="25.5" x14ac:dyDescent="0.35">
      <c r="A15" s="18" t="s">
        <v>31</v>
      </c>
      <c r="B15" s="18" t="s">
        <v>361</v>
      </c>
      <c r="C15" s="359">
        <v>7466.45</v>
      </c>
      <c r="D15" s="359">
        <v>3345.14</v>
      </c>
      <c r="E15" s="360">
        <v>12000</v>
      </c>
      <c r="F15" s="359">
        <v>7345.14</v>
      </c>
      <c r="G15" s="359">
        <v>12000</v>
      </c>
      <c r="H15" s="359">
        <v>10690.57</v>
      </c>
      <c r="I15" s="361">
        <v>12000</v>
      </c>
      <c r="J15" s="359">
        <v>4222.75</v>
      </c>
      <c r="K15" s="359">
        <v>12000</v>
      </c>
      <c r="L15" s="359">
        <v>16000</v>
      </c>
      <c r="M15" s="359">
        <v>16000</v>
      </c>
      <c r="N15" s="34" t="s">
        <v>360</v>
      </c>
      <c r="O15" s="155" t="s">
        <v>360</v>
      </c>
    </row>
    <row r="16" spans="1:16" ht="25.5" x14ac:dyDescent="0.35">
      <c r="A16" s="18" t="s">
        <v>359</v>
      </c>
      <c r="B16" s="18" t="s">
        <v>358</v>
      </c>
      <c r="C16" s="359">
        <v>1000</v>
      </c>
      <c r="D16" s="359">
        <v>500</v>
      </c>
      <c r="E16" s="360">
        <v>10000</v>
      </c>
      <c r="F16" s="359">
        <v>4397</v>
      </c>
      <c r="G16" s="359">
        <v>10000</v>
      </c>
      <c r="H16" s="359">
        <v>3691.95</v>
      </c>
      <c r="I16" s="361">
        <v>8000</v>
      </c>
      <c r="J16" s="359">
        <v>150</v>
      </c>
      <c r="K16" s="359">
        <v>5000</v>
      </c>
      <c r="L16" s="359">
        <v>7500</v>
      </c>
      <c r="M16" s="359">
        <v>7500</v>
      </c>
      <c r="N16" s="34" t="s">
        <v>357</v>
      </c>
      <c r="O16" s="155" t="s">
        <v>356</v>
      </c>
    </row>
    <row r="17" spans="1:16" x14ac:dyDescent="0.35">
      <c r="A17" s="18" t="s">
        <v>339</v>
      </c>
      <c r="B17" s="18" t="s">
        <v>338</v>
      </c>
      <c r="C17" s="359">
        <v>0</v>
      </c>
      <c r="D17" s="359">
        <v>-500</v>
      </c>
      <c r="E17" s="360">
        <v>7000</v>
      </c>
      <c r="F17" s="359">
        <v>0</v>
      </c>
      <c r="G17" s="359">
        <v>0</v>
      </c>
      <c r="H17" s="359"/>
      <c r="I17" s="361"/>
      <c r="J17" s="359"/>
      <c r="K17" s="359"/>
      <c r="L17" s="359"/>
      <c r="M17" s="359"/>
      <c r="N17" s="34" t="s">
        <v>355</v>
      </c>
    </row>
    <row r="18" spans="1:16" ht="127.5" x14ac:dyDescent="0.35">
      <c r="A18" s="18" t="s">
        <v>354</v>
      </c>
      <c r="B18" s="18" t="s">
        <v>353</v>
      </c>
      <c r="C18" s="359">
        <v>30310</v>
      </c>
      <c r="D18" s="359">
        <v>38670</v>
      </c>
      <c r="E18" s="360">
        <v>42000</v>
      </c>
      <c r="F18" s="359">
        <v>38670</v>
      </c>
      <c r="G18" s="359">
        <v>42000</v>
      </c>
      <c r="H18" s="359">
        <v>30880</v>
      </c>
      <c r="I18" s="361">
        <v>42000</v>
      </c>
      <c r="J18" s="359">
        <v>23370</v>
      </c>
      <c r="K18" s="359">
        <v>40000</v>
      </c>
      <c r="L18" s="359">
        <v>35000</v>
      </c>
      <c r="M18" s="359">
        <f>L18*1.03</f>
        <v>36050</v>
      </c>
      <c r="O18" s="362" t="s">
        <v>352</v>
      </c>
      <c r="P18" s="58" t="s">
        <v>629</v>
      </c>
    </row>
    <row r="19" spans="1:16" ht="38.25" x14ac:dyDescent="0.35">
      <c r="A19" s="18" t="s">
        <v>351</v>
      </c>
      <c r="B19" s="18" t="s">
        <v>350</v>
      </c>
      <c r="C19" s="359">
        <v>91.25</v>
      </c>
      <c r="D19" s="359">
        <v>0</v>
      </c>
      <c r="E19" s="360">
        <v>9000</v>
      </c>
      <c r="F19" s="359">
        <v>0</v>
      </c>
      <c r="G19" s="359">
        <v>9000</v>
      </c>
      <c r="H19" s="359">
        <v>500</v>
      </c>
      <c r="I19" s="361">
        <v>12000</v>
      </c>
      <c r="J19" s="359"/>
      <c r="K19" s="359">
        <v>15000</v>
      </c>
      <c r="L19" s="359">
        <v>15000</v>
      </c>
      <c r="M19" s="359">
        <v>15000</v>
      </c>
      <c r="N19" s="34" t="s">
        <v>349</v>
      </c>
      <c r="O19" s="155" t="s">
        <v>349</v>
      </c>
    </row>
    <row r="20" spans="1:16" x14ac:dyDescent="0.35">
      <c r="A20" s="18" t="s">
        <v>348</v>
      </c>
      <c r="B20" s="18" t="s">
        <v>347</v>
      </c>
      <c r="C20" s="359">
        <v>0</v>
      </c>
      <c r="D20" s="359">
        <v>811.96</v>
      </c>
      <c r="E20" s="360">
        <v>1200</v>
      </c>
      <c r="F20" s="359">
        <v>811.96</v>
      </c>
      <c r="G20" s="359">
        <v>1200</v>
      </c>
      <c r="H20" s="359">
        <v>0</v>
      </c>
      <c r="I20" s="361">
        <v>1200</v>
      </c>
      <c r="J20" s="359">
        <v>699.6</v>
      </c>
      <c r="K20" s="359">
        <v>1000</v>
      </c>
      <c r="L20" s="359">
        <v>1200</v>
      </c>
      <c r="M20" s="359">
        <v>1400</v>
      </c>
      <c r="N20" s="34" t="s">
        <v>346</v>
      </c>
      <c r="O20" s="155" t="s">
        <v>346</v>
      </c>
    </row>
    <row r="21" spans="1:16" x14ac:dyDescent="0.35">
      <c r="A21" s="18" t="s">
        <v>82</v>
      </c>
      <c r="B21" s="18" t="s">
        <v>83</v>
      </c>
      <c r="C21" s="359">
        <v>16920</v>
      </c>
      <c r="D21" s="359">
        <v>16129.98</v>
      </c>
      <c r="E21" s="360">
        <v>16900</v>
      </c>
      <c r="F21" s="359">
        <v>16423.98</v>
      </c>
      <c r="G21" s="359">
        <v>17000</v>
      </c>
      <c r="H21" s="359">
        <v>15551</v>
      </c>
      <c r="I21" s="361">
        <v>20000</v>
      </c>
      <c r="J21" s="359">
        <v>9944.64</v>
      </c>
      <c r="K21" s="359">
        <v>20000</v>
      </c>
      <c r="L21" s="359">
        <v>20000</v>
      </c>
      <c r="M21" s="359">
        <v>20000</v>
      </c>
    </row>
    <row r="22" spans="1:16" ht="25.5" x14ac:dyDescent="0.35">
      <c r="A22" s="18" t="s">
        <v>345</v>
      </c>
      <c r="B22" s="18" t="s">
        <v>344</v>
      </c>
      <c r="C22" s="359"/>
      <c r="D22" s="359">
        <v>0</v>
      </c>
      <c r="E22" s="360"/>
      <c r="F22" s="359">
        <v>0</v>
      </c>
      <c r="G22" s="359">
        <v>3000</v>
      </c>
      <c r="H22" s="359">
        <v>0</v>
      </c>
      <c r="I22" s="361">
        <v>3500</v>
      </c>
      <c r="J22" s="359"/>
      <c r="K22" s="359">
        <v>2000</v>
      </c>
      <c r="L22" s="359">
        <v>2000</v>
      </c>
      <c r="M22" s="359">
        <v>2000</v>
      </c>
      <c r="N22" s="34" t="s">
        <v>343</v>
      </c>
    </row>
    <row r="23" spans="1:16" x14ac:dyDescent="0.35">
      <c r="A23" s="18" t="s">
        <v>342</v>
      </c>
      <c r="B23" s="18" t="s">
        <v>341</v>
      </c>
      <c r="C23" s="359"/>
      <c r="D23" s="359">
        <v>5000</v>
      </c>
      <c r="E23" s="360"/>
      <c r="F23" s="359">
        <v>5000</v>
      </c>
      <c r="G23" s="359">
        <v>0</v>
      </c>
      <c r="H23" s="359">
        <v>52100</v>
      </c>
      <c r="I23" s="361">
        <v>50000</v>
      </c>
      <c r="J23" s="359"/>
      <c r="K23" s="359">
        <v>10000</v>
      </c>
      <c r="L23" s="359"/>
      <c r="M23" s="359"/>
      <c r="N23" s="34" t="s">
        <v>340</v>
      </c>
    </row>
    <row r="24" spans="1:16" ht="13.15" x14ac:dyDescent="0.4">
      <c r="A24" s="9"/>
      <c r="B24" s="9" t="s">
        <v>64</v>
      </c>
      <c r="C24" s="363">
        <v>116956.66</v>
      </c>
      <c r="D24" s="363">
        <v>153926.37</v>
      </c>
      <c r="E24" s="363">
        <f>SUM(E7:E21)</f>
        <v>302400</v>
      </c>
      <c r="F24" s="363">
        <v>194232.15</v>
      </c>
      <c r="G24" s="363">
        <v>233314.04</v>
      </c>
      <c r="H24" s="363">
        <f>SUM(H7:H23)</f>
        <v>250505.84000000003</v>
      </c>
      <c r="I24" s="364">
        <f>SUM(I7:I23)</f>
        <v>289863.21000000002</v>
      </c>
      <c r="J24" s="363">
        <f>SUM(J7:J23)</f>
        <v>128074.88</v>
      </c>
      <c r="K24" s="363">
        <f>SUM(K7:K23)</f>
        <v>249990.09576335666</v>
      </c>
      <c r="L24" s="363">
        <f>SUM(L6:L23)</f>
        <v>249072.79863625736</v>
      </c>
      <c r="M24" s="363">
        <f>SUM(M6:M23)</f>
        <v>256056.48259534506</v>
      </c>
    </row>
    <row r="25" spans="1:16" ht="13.15" x14ac:dyDescent="0.4">
      <c r="A25" s="9"/>
      <c r="B25" s="9"/>
      <c r="C25" s="363"/>
      <c r="D25" s="363"/>
      <c r="E25" s="363"/>
      <c r="F25" s="363"/>
      <c r="G25" s="363"/>
      <c r="H25" s="363"/>
      <c r="I25" s="361"/>
      <c r="J25" s="361"/>
      <c r="K25" s="359"/>
      <c r="L25" s="359"/>
      <c r="M25" s="359"/>
    </row>
    <row r="26" spans="1:16" ht="13.15" x14ac:dyDescent="0.4">
      <c r="A26" s="9"/>
      <c r="B26" s="9" t="s">
        <v>65</v>
      </c>
      <c r="C26" s="363">
        <v>-116956.66</v>
      </c>
      <c r="D26" s="363">
        <v>-153926.37</v>
      </c>
      <c r="E26" s="363">
        <f>SUM(-E24)</f>
        <v>-302400</v>
      </c>
      <c r="F26" s="363">
        <v>-194232.15</v>
      </c>
      <c r="G26" s="363">
        <v>-233314.04</v>
      </c>
      <c r="H26" s="364">
        <f t="shared" ref="H26:M26" si="0">-H24</f>
        <v>-250505.84000000003</v>
      </c>
      <c r="I26" s="364">
        <f t="shared" si="0"/>
        <v>-289863.21000000002</v>
      </c>
      <c r="J26" s="364">
        <f t="shared" si="0"/>
        <v>-128074.88</v>
      </c>
      <c r="K26" s="363">
        <f t="shared" si="0"/>
        <v>-249990.09576335666</v>
      </c>
      <c r="L26" s="363">
        <f t="shared" si="0"/>
        <v>-249072.79863625736</v>
      </c>
      <c r="M26" s="363">
        <f t="shared" si="0"/>
        <v>-256056.48259534506</v>
      </c>
    </row>
    <row r="27" spans="1:16" ht="13.15" x14ac:dyDescent="0.4">
      <c r="H27" s="21"/>
    </row>
  </sheetData>
  <mergeCells count="3">
    <mergeCell ref="A1:I1"/>
    <mergeCell ref="A4:G4"/>
    <mergeCell ref="A6:G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E9D7C-FA04-4CA8-A786-4930BECC347E}">
  <dimension ref="A1:O47"/>
  <sheetViews>
    <sheetView topLeftCell="C1" zoomScale="90" zoomScaleNormal="90" workbookViewId="0">
      <selection activeCell="K15" sqref="K15"/>
    </sheetView>
  </sheetViews>
  <sheetFormatPr defaultColWidth="8.796875" defaultRowHeight="14.25" x14ac:dyDescent="0.45"/>
  <cols>
    <col min="1" max="1" width="13.46484375" customWidth="1"/>
    <col min="2" max="2" width="26.46484375" customWidth="1"/>
    <col min="3" max="3" width="12.59765625" customWidth="1"/>
    <col min="4" max="4" width="14.796875" bestFit="1" customWidth="1"/>
    <col min="5" max="5" width="14.19921875" customWidth="1"/>
    <col min="6" max="7" width="14.46484375" customWidth="1"/>
    <col min="8" max="8" width="14.796875" bestFit="1" customWidth="1"/>
    <col min="9" max="13" width="14.33203125" customWidth="1"/>
    <col min="14" max="14" width="25.796875" style="394" customWidth="1"/>
    <col min="15" max="15" width="25.59765625" style="393" bestFit="1" customWidth="1"/>
  </cols>
  <sheetData>
    <row r="1" spans="1:15" x14ac:dyDescent="0.45">
      <c r="A1" s="453" t="s">
        <v>617</v>
      </c>
      <c r="B1" s="453"/>
      <c r="C1" s="453"/>
      <c r="D1" s="453"/>
      <c r="E1" s="453"/>
      <c r="F1" s="453"/>
      <c r="G1" s="453"/>
      <c r="H1" s="453"/>
      <c r="I1" s="453"/>
      <c r="J1" s="417"/>
      <c r="K1" s="417"/>
      <c r="L1" s="417"/>
      <c r="M1" s="417"/>
      <c r="N1" s="416" t="s">
        <v>3</v>
      </c>
      <c r="O1" s="415" t="s">
        <v>4</v>
      </c>
    </row>
    <row r="2" spans="1:15" x14ac:dyDescent="0.45">
      <c r="A2" s="412" t="s">
        <v>1</v>
      </c>
      <c r="C2" s="412">
        <v>2021</v>
      </c>
      <c r="D2" s="412">
        <v>2022</v>
      </c>
      <c r="E2" s="412">
        <v>2022</v>
      </c>
      <c r="F2" s="412">
        <v>2023</v>
      </c>
      <c r="G2" s="412">
        <v>2023</v>
      </c>
      <c r="H2" s="412">
        <v>2024</v>
      </c>
      <c r="I2" s="413">
        <v>2024</v>
      </c>
      <c r="J2" s="414">
        <v>45870</v>
      </c>
      <c r="K2" s="413">
        <v>2025</v>
      </c>
      <c r="L2" s="413">
        <v>2026</v>
      </c>
      <c r="M2" s="413">
        <v>2027</v>
      </c>
    </row>
    <row r="3" spans="1:15" x14ac:dyDescent="0.45">
      <c r="A3" s="412" t="s">
        <v>5</v>
      </c>
      <c r="B3" s="412" t="s">
        <v>6</v>
      </c>
      <c r="C3" s="412" t="s">
        <v>7</v>
      </c>
      <c r="D3" s="412" t="s">
        <v>8</v>
      </c>
      <c r="E3" s="412" t="s">
        <v>9</v>
      </c>
      <c r="F3" s="412" t="s">
        <v>10</v>
      </c>
      <c r="G3" s="412" t="s">
        <v>9</v>
      </c>
      <c r="H3" s="412" t="s">
        <v>8</v>
      </c>
      <c r="I3" s="412" t="s">
        <v>7</v>
      </c>
      <c r="J3" s="412" t="s">
        <v>11</v>
      </c>
      <c r="K3" s="411" t="s">
        <v>7</v>
      </c>
      <c r="L3" s="411" t="s">
        <v>7</v>
      </c>
      <c r="M3" s="411" t="s">
        <v>7</v>
      </c>
    </row>
    <row r="4" spans="1:15" x14ac:dyDescent="0.45">
      <c r="A4" s="451" t="s">
        <v>12</v>
      </c>
      <c r="B4" s="454"/>
      <c r="C4" s="454"/>
      <c r="D4" s="454"/>
      <c r="E4" s="455"/>
      <c r="F4" s="455"/>
      <c r="G4" s="455"/>
      <c r="H4" s="410"/>
      <c r="I4" s="410"/>
      <c r="J4" s="404"/>
    </row>
    <row r="5" spans="1:15" ht="28.5" x14ac:dyDescent="0.45">
      <c r="A5" s="401" t="s">
        <v>93</v>
      </c>
      <c r="B5" s="401" t="s">
        <v>94</v>
      </c>
      <c r="C5" s="418">
        <v>50000</v>
      </c>
      <c r="D5" s="419">
        <v>108000</v>
      </c>
      <c r="E5" s="420">
        <v>50000</v>
      </c>
      <c r="F5" s="421">
        <v>138000</v>
      </c>
      <c r="G5" s="421">
        <v>130000</v>
      </c>
      <c r="H5" s="421">
        <v>160500</v>
      </c>
      <c r="I5" s="422">
        <f>(13*10000)+2500</f>
        <v>132500</v>
      </c>
      <c r="J5" s="422"/>
      <c r="K5" s="422">
        <f>13*10000</f>
        <v>130000</v>
      </c>
      <c r="L5" s="422">
        <v>212500</v>
      </c>
      <c r="M5" s="422">
        <v>212500</v>
      </c>
      <c r="N5" s="403" t="s">
        <v>616</v>
      </c>
      <c r="O5" s="399" t="s">
        <v>615</v>
      </c>
    </row>
    <row r="6" spans="1:15" x14ac:dyDescent="0.45">
      <c r="A6" s="401">
        <v>3400</v>
      </c>
      <c r="B6" s="401" t="s">
        <v>614</v>
      </c>
      <c r="C6" s="418"/>
      <c r="D6" s="419">
        <v>1567.5</v>
      </c>
      <c r="E6" s="420"/>
      <c r="F6" s="421">
        <v>1482</v>
      </c>
      <c r="G6" s="421"/>
      <c r="H6" s="421">
        <v>550</v>
      </c>
      <c r="I6" s="422">
        <v>0</v>
      </c>
      <c r="J6" s="422">
        <v>160</v>
      </c>
      <c r="K6" s="422">
        <v>0</v>
      </c>
      <c r="L6" s="422">
        <v>0</v>
      </c>
      <c r="M6" s="422">
        <v>0</v>
      </c>
      <c r="N6" s="403"/>
    </row>
    <row r="7" spans="1:15" ht="128.25" x14ac:dyDescent="0.45">
      <c r="A7" s="401" t="s">
        <v>99</v>
      </c>
      <c r="B7" s="401" t="s">
        <v>100</v>
      </c>
      <c r="C7" s="418">
        <v>1507.5</v>
      </c>
      <c r="D7" s="419">
        <v>699846</v>
      </c>
      <c r="E7" s="420">
        <v>357000</v>
      </c>
      <c r="F7" s="421">
        <v>488508</v>
      </c>
      <c r="G7" s="421">
        <v>447000</v>
      </c>
      <c r="H7" s="421">
        <v>490625</v>
      </c>
      <c r="I7" s="422">
        <f>(550*745)+(50*850)</f>
        <v>452250</v>
      </c>
      <c r="J7" s="422"/>
      <c r="K7" s="422">
        <v>474100</v>
      </c>
      <c r="L7" s="422">
        <v>550000</v>
      </c>
      <c r="M7" s="422">
        <v>500000</v>
      </c>
      <c r="N7" s="403" t="s">
        <v>613</v>
      </c>
      <c r="O7" s="399" t="s">
        <v>612</v>
      </c>
    </row>
    <row r="8" spans="1:15" x14ac:dyDescent="0.45">
      <c r="A8" s="401" t="s">
        <v>611</v>
      </c>
      <c r="B8" s="401" t="s">
        <v>610</v>
      </c>
      <c r="C8" s="418">
        <v>13100</v>
      </c>
      <c r="D8" s="419">
        <v>22775</v>
      </c>
      <c r="E8" s="420">
        <v>15000</v>
      </c>
      <c r="F8" s="421">
        <v>11475</v>
      </c>
      <c r="G8" s="421">
        <v>15000</v>
      </c>
      <c r="H8" s="421">
        <v>41350</v>
      </c>
      <c r="I8" s="422">
        <f>100*150</f>
        <v>15000</v>
      </c>
      <c r="J8" s="422"/>
      <c r="K8" s="422">
        <f>150*150</f>
        <v>22500</v>
      </c>
      <c r="L8" s="422">
        <v>15000</v>
      </c>
      <c r="M8" s="422">
        <v>15000</v>
      </c>
      <c r="N8" s="403" t="s">
        <v>609</v>
      </c>
      <c r="O8" s="403" t="s">
        <v>609</v>
      </c>
    </row>
    <row r="9" spans="1:15" ht="71.25" x14ac:dyDescent="0.45">
      <c r="A9" s="401" t="s">
        <v>105</v>
      </c>
      <c r="B9" s="401" t="s">
        <v>106</v>
      </c>
      <c r="C9" s="418">
        <v>66900</v>
      </c>
      <c r="D9" s="419">
        <v>66225</v>
      </c>
      <c r="E9" s="420">
        <v>75000</v>
      </c>
      <c r="F9" s="421">
        <v>110225</v>
      </c>
      <c r="G9" s="421">
        <v>83000</v>
      </c>
      <c r="H9" s="421">
        <v>72735.899999999994</v>
      </c>
      <c r="I9" s="422">
        <v>70000</v>
      </c>
      <c r="J9" s="422"/>
      <c r="K9" s="423">
        <v>80000</v>
      </c>
      <c r="L9" s="423">
        <v>120000</v>
      </c>
      <c r="M9" s="423">
        <v>100000</v>
      </c>
      <c r="N9" s="400" t="s">
        <v>608</v>
      </c>
      <c r="O9" s="399" t="s">
        <v>607</v>
      </c>
    </row>
    <row r="10" spans="1:15" ht="42.75" x14ac:dyDescent="0.45">
      <c r="A10" s="401" t="s">
        <v>606</v>
      </c>
      <c r="B10" s="401" t="s">
        <v>605</v>
      </c>
      <c r="C10" s="418">
        <v>0</v>
      </c>
      <c r="D10" s="419">
        <v>0</v>
      </c>
      <c r="E10" s="420">
        <v>2000</v>
      </c>
      <c r="F10" s="421">
        <v>2955</v>
      </c>
      <c r="G10" s="421">
        <v>2000</v>
      </c>
      <c r="H10" s="421">
        <v>570</v>
      </c>
      <c r="I10" s="422">
        <v>1500</v>
      </c>
      <c r="J10" s="422"/>
      <c r="K10" s="423">
        <v>600</v>
      </c>
      <c r="L10" s="423">
        <v>0</v>
      </c>
      <c r="M10" s="423">
        <v>0</v>
      </c>
      <c r="N10" s="409" t="s">
        <v>604</v>
      </c>
      <c r="O10" s="399" t="s">
        <v>603</v>
      </c>
    </row>
    <row r="11" spans="1:15" x14ac:dyDescent="0.45">
      <c r="A11" s="401">
        <v>3721</v>
      </c>
      <c r="B11" s="401" t="s">
        <v>602</v>
      </c>
      <c r="C11" s="418"/>
      <c r="D11" s="419">
        <v>5000</v>
      </c>
      <c r="E11" s="420"/>
      <c r="F11" s="421"/>
      <c r="G11" s="421"/>
      <c r="H11" s="424"/>
      <c r="I11" s="422"/>
      <c r="J11" s="422"/>
      <c r="K11" s="422"/>
      <c r="L11" s="422"/>
      <c r="M11" s="422"/>
    </row>
    <row r="12" spans="1:15" x14ac:dyDescent="0.45">
      <c r="A12" s="401" t="s">
        <v>601</v>
      </c>
      <c r="B12" s="401" t="s">
        <v>600</v>
      </c>
      <c r="C12" s="418">
        <v>0</v>
      </c>
      <c r="D12" s="419">
        <v>0</v>
      </c>
      <c r="E12" s="420">
        <v>7500</v>
      </c>
      <c r="F12" s="421">
        <v>0</v>
      </c>
      <c r="G12" s="421">
        <v>5000</v>
      </c>
      <c r="H12" s="421">
        <v>0</v>
      </c>
      <c r="I12" s="422">
        <v>2500</v>
      </c>
      <c r="J12" s="422"/>
      <c r="K12" s="422">
        <v>2500</v>
      </c>
      <c r="L12" s="422">
        <v>18000</v>
      </c>
      <c r="M12" s="422">
        <v>18000</v>
      </c>
      <c r="O12" s="399" t="s">
        <v>599</v>
      </c>
    </row>
    <row r="13" spans="1:15" ht="85.5" x14ac:dyDescent="0.45">
      <c r="A13" s="401" t="s">
        <v>109</v>
      </c>
      <c r="B13" s="401" t="s">
        <v>110</v>
      </c>
      <c r="C13" s="418">
        <v>115800</v>
      </c>
      <c r="D13" s="419">
        <v>173475</v>
      </c>
      <c r="E13" s="420">
        <v>120000</v>
      </c>
      <c r="F13" s="421">
        <v>239800</v>
      </c>
      <c r="G13" s="421">
        <v>85750</v>
      </c>
      <c r="H13" s="421">
        <v>321500</v>
      </c>
      <c r="I13" s="422">
        <f>(42*2250) + (10*3100)</f>
        <v>125500</v>
      </c>
      <c r="J13" s="422"/>
      <c r="K13" s="422">
        <f>(85*2900)+(15*3300)</f>
        <v>296000</v>
      </c>
      <c r="L13" s="422">
        <v>500000</v>
      </c>
      <c r="M13" s="422">
        <v>500000</v>
      </c>
      <c r="N13" s="408" t="s">
        <v>598</v>
      </c>
      <c r="O13" s="399" t="s">
        <v>597</v>
      </c>
    </row>
    <row r="14" spans="1:15" x14ac:dyDescent="0.45">
      <c r="A14" s="406"/>
      <c r="B14" s="406" t="s">
        <v>17</v>
      </c>
      <c r="C14" s="425">
        <v>547607.5</v>
      </c>
      <c r="D14" s="426">
        <v>1076888.5</v>
      </c>
      <c r="E14" s="427">
        <f>SUM(E5:E13)</f>
        <v>626500</v>
      </c>
      <c r="F14" s="428">
        <v>992445</v>
      </c>
      <c r="G14" s="428">
        <v>767750</v>
      </c>
      <c r="H14" s="429">
        <f t="shared" ref="H14:M14" si="0">SUM(H5:H13)</f>
        <v>1087830.8999999999</v>
      </c>
      <c r="I14" s="429">
        <f t="shared" si="0"/>
        <v>799250</v>
      </c>
      <c r="J14" s="429">
        <f t="shared" si="0"/>
        <v>160</v>
      </c>
      <c r="K14" s="429">
        <f>SUM(K5:K13)</f>
        <v>1005700</v>
      </c>
      <c r="L14" s="429">
        <f t="shared" si="0"/>
        <v>1415500</v>
      </c>
      <c r="M14" s="429">
        <f t="shared" si="0"/>
        <v>1345500</v>
      </c>
    </row>
    <row r="15" spans="1:15" x14ac:dyDescent="0.45">
      <c r="A15" s="407"/>
      <c r="B15" s="406"/>
      <c r="C15" s="425"/>
      <c r="D15" s="430"/>
      <c r="E15" s="427"/>
      <c r="F15" s="428"/>
      <c r="G15" s="428"/>
      <c r="H15" s="428"/>
      <c r="I15" s="422"/>
      <c r="J15" s="422"/>
      <c r="K15" s="422"/>
      <c r="L15" s="422"/>
      <c r="M15" s="422"/>
    </row>
    <row r="16" spans="1:15" x14ac:dyDescent="0.45">
      <c r="A16" s="347" t="s">
        <v>18</v>
      </c>
      <c r="B16" s="405"/>
      <c r="C16" s="430"/>
      <c r="D16" s="418"/>
      <c r="E16" s="424"/>
      <c r="F16" s="428"/>
      <c r="G16" s="424"/>
      <c r="H16" s="424"/>
      <c r="I16" s="422"/>
      <c r="J16" s="422"/>
      <c r="K16" s="422"/>
      <c r="L16" s="422"/>
      <c r="M16" s="422"/>
    </row>
    <row r="17" spans="1:15" x14ac:dyDescent="0.45">
      <c r="A17" s="401" t="s">
        <v>596</v>
      </c>
      <c r="B17" s="401" t="s">
        <v>595</v>
      </c>
      <c r="C17" s="418">
        <v>1452.63</v>
      </c>
      <c r="D17" s="431">
        <v>958.05</v>
      </c>
      <c r="E17" s="432">
        <v>1200</v>
      </c>
      <c r="F17" s="421">
        <v>3077.7</v>
      </c>
      <c r="G17" s="421">
        <v>1500</v>
      </c>
      <c r="H17" s="421">
        <v>787.2</v>
      </c>
      <c r="I17" s="422">
        <v>1500</v>
      </c>
      <c r="J17" s="422"/>
      <c r="K17" s="422">
        <v>1500</v>
      </c>
      <c r="L17" s="422">
        <v>1500</v>
      </c>
      <c r="M17" s="422">
        <v>1500</v>
      </c>
      <c r="N17" s="403" t="s">
        <v>594</v>
      </c>
      <c r="O17" s="403" t="s">
        <v>594</v>
      </c>
    </row>
    <row r="18" spans="1:15" x14ac:dyDescent="0.45">
      <c r="A18" s="401" t="s">
        <v>19</v>
      </c>
      <c r="B18" s="401" t="s">
        <v>20</v>
      </c>
      <c r="C18" s="418">
        <v>0</v>
      </c>
      <c r="D18" s="431">
        <v>0</v>
      </c>
      <c r="E18" s="432">
        <v>250</v>
      </c>
      <c r="F18" s="421">
        <v>0</v>
      </c>
      <c r="G18" s="421">
        <v>500</v>
      </c>
      <c r="H18" s="421">
        <v>160.85</v>
      </c>
      <c r="I18" s="422">
        <v>250</v>
      </c>
      <c r="J18" s="422"/>
      <c r="K18" s="422">
        <v>200</v>
      </c>
      <c r="L18" s="422">
        <v>200</v>
      </c>
      <c r="M18" s="422">
        <v>200</v>
      </c>
    </row>
    <row r="19" spans="1:15" x14ac:dyDescent="0.45">
      <c r="A19" s="401" t="s">
        <v>113</v>
      </c>
      <c r="B19" s="401" t="s">
        <v>114</v>
      </c>
      <c r="C19" s="418">
        <v>0</v>
      </c>
      <c r="D19" s="431">
        <v>8324.1299999999992</v>
      </c>
      <c r="E19" s="432">
        <v>7500</v>
      </c>
      <c r="F19" s="421">
        <v>9519.5300000000007</v>
      </c>
      <c r="G19" s="421">
        <v>7500</v>
      </c>
      <c r="H19" s="421">
        <v>8284.76</v>
      </c>
      <c r="I19" s="422">
        <v>8500</v>
      </c>
      <c r="J19" s="422"/>
      <c r="K19" s="422">
        <v>5734</v>
      </c>
      <c r="L19" s="422">
        <v>6500</v>
      </c>
      <c r="M19" s="422">
        <v>6500</v>
      </c>
      <c r="N19" s="403"/>
    </row>
    <row r="20" spans="1:15" ht="28.5" x14ac:dyDescent="0.45">
      <c r="A20" s="401" t="s">
        <v>116</v>
      </c>
      <c r="B20" s="401" t="s">
        <v>117</v>
      </c>
      <c r="C20" s="418">
        <v>568.08000000000004</v>
      </c>
      <c r="D20" s="431">
        <v>2322.6999999999998</v>
      </c>
      <c r="E20" s="432">
        <v>1000</v>
      </c>
      <c r="F20" s="421">
        <v>921.99</v>
      </c>
      <c r="G20" s="421">
        <v>2500</v>
      </c>
      <c r="H20" s="421">
        <v>3085.58</v>
      </c>
      <c r="I20" s="422">
        <v>2500</v>
      </c>
      <c r="J20" s="422"/>
      <c r="K20" s="422">
        <v>2600</v>
      </c>
      <c r="L20" s="422">
        <v>2500</v>
      </c>
      <c r="M20" s="422">
        <v>2500</v>
      </c>
      <c r="N20" s="394" t="s">
        <v>593</v>
      </c>
    </row>
    <row r="21" spans="1:15" x14ac:dyDescent="0.45">
      <c r="A21" s="401" t="s">
        <v>173</v>
      </c>
      <c r="B21" s="401" t="s">
        <v>172</v>
      </c>
      <c r="C21" s="418">
        <v>2050.44</v>
      </c>
      <c r="D21" s="431">
        <v>4026.92</v>
      </c>
      <c r="E21" s="432">
        <v>2500</v>
      </c>
      <c r="F21" s="421">
        <v>3508.59</v>
      </c>
      <c r="G21" s="421">
        <v>2500</v>
      </c>
      <c r="H21" s="421">
        <v>1125.22</v>
      </c>
      <c r="I21" s="422">
        <v>3000</v>
      </c>
      <c r="J21" s="422"/>
      <c r="K21" s="422">
        <v>0</v>
      </c>
      <c r="L21" s="422">
        <v>0</v>
      </c>
      <c r="M21" s="422">
        <v>0</v>
      </c>
      <c r="O21" s="393" t="s">
        <v>592</v>
      </c>
    </row>
    <row r="22" spans="1:15" ht="14.25" customHeight="1" x14ac:dyDescent="0.45">
      <c r="A22" s="401" t="s">
        <v>22</v>
      </c>
      <c r="B22" s="401" t="s">
        <v>23</v>
      </c>
      <c r="C22" s="418">
        <v>3781.78</v>
      </c>
      <c r="D22" s="431">
        <v>2930.74</v>
      </c>
      <c r="E22" s="432">
        <v>2000</v>
      </c>
      <c r="F22" s="421">
        <v>3174.18</v>
      </c>
      <c r="G22" s="421">
        <v>4000</v>
      </c>
      <c r="H22" s="421">
        <v>1838.36</v>
      </c>
      <c r="I22" s="422">
        <v>3500</v>
      </c>
      <c r="J22" s="422"/>
      <c r="K22" s="422">
        <v>3000</v>
      </c>
      <c r="L22" s="422">
        <v>3000</v>
      </c>
      <c r="M22" s="422">
        <v>3000</v>
      </c>
    </row>
    <row r="23" spans="1:15" x14ac:dyDescent="0.45">
      <c r="A23" s="401" t="s">
        <v>120</v>
      </c>
      <c r="B23" s="401" t="s">
        <v>121</v>
      </c>
      <c r="C23" s="418">
        <v>0</v>
      </c>
      <c r="D23" s="431">
        <v>3000</v>
      </c>
      <c r="E23" s="432">
        <v>3000</v>
      </c>
      <c r="F23" s="421">
        <v>0</v>
      </c>
      <c r="G23" s="421">
        <v>3300</v>
      </c>
      <c r="H23" s="421">
        <v>3501.88</v>
      </c>
      <c r="I23" s="422">
        <v>3700</v>
      </c>
      <c r="J23" s="422"/>
      <c r="K23" s="422">
        <v>3700</v>
      </c>
      <c r="L23" s="422">
        <v>3800</v>
      </c>
      <c r="M23" s="422">
        <v>3800</v>
      </c>
    </row>
    <row r="24" spans="1:15" x14ac:dyDescent="0.45">
      <c r="A24" s="401">
        <v>5245</v>
      </c>
      <c r="B24" s="401" t="s">
        <v>591</v>
      </c>
      <c r="C24" s="418">
        <v>43094.69</v>
      </c>
      <c r="D24" s="431">
        <v>0</v>
      </c>
      <c r="E24" s="432">
        <v>0</v>
      </c>
      <c r="F24" s="421"/>
      <c r="G24" s="421">
        <v>0</v>
      </c>
      <c r="H24" s="421"/>
      <c r="I24" s="422">
        <v>0</v>
      </c>
      <c r="J24" s="422"/>
      <c r="K24" s="422">
        <v>0</v>
      </c>
      <c r="L24" s="433"/>
      <c r="M24" s="422"/>
    </row>
    <row r="25" spans="1:15" x14ac:dyDescent="0.45">
      <c r="A25" s="401" t="s">
        <v>25</v>
      </c>
      <c r="B25" s="401" t="s">
        <v>26</v>
      </c>
      <c r="C25" s="418">
        <v>0</v>
      </c>
      <c r="D25" s="431">
        <v>4326.5</v>
      </c>
      <c r="E25" s="432">
        <v>1000</v>
      </c>
      <c r="F25" s="421">
        <v>100</v>
      </c>
      <c r="G25" s="421">
        <v>1500</v>
      </c>
      <c r="H25" s="421">
        <v>0</v>
      </c>
      <c r="I25" s="422">
        <v>1500</v>
      </c>
      <c r="J25" s="422"/>
      <c r="K25" s="422">
        <v>1500</v>
      </c>
      <c r="L25" s="422">
        <v>1500</v>
      </c>
      <c r="M25" s="422">
        <v>1500</v>
      </c>
    </row>
    <row r="26" spans="1:15" ht="28.5" x14ac:dyDescent="0.45">
      <c r="A26" s="401" t="s">
        <v>73</v>
      </c>
      <c r="B26" s="401" t="s">
        <v>28</v>
      </c>
      <c r="C26" s="418">
        <v>7610</v>
      </c>
      <c r="D26" s="431">
        <v>11008.2</v>
      </c>
      <c r="E26" s="432">
        <v>11000</v>
      </c>
      <c r="F26" s="421">
        <v>10872.58</v>
      </c>
      <c r="G26" s="421">
        <v>12000</v>
      </c>
      <c r="H26" s="421">
        <v>15485.87</v>
      </c>
      <c r="I26" s="422">
        <v>12000</v>
      </c>
      <c r="J26" s="422"/>
      <c r="K26" s="422">
        <v>12000</v>
      </c>
      <c r="L26" s="422">
        <v>15000</v>
      </c>
      <c r="M26" s="422">
        <v>15000</v>
      </c>
      <c r="N26" s="403" t="s">
        <v>590</v>
      </c>
      <c r="O26" s="399" t="s">
        <v>589</v>
      </c>
    </row>
    <row r="27" spans="1:15" x14ac:dyDescent="0.45">
      <c r="A27" s="401" t="s">
        <v>125</v>
      </c>
      <c r="B27" s="401" t="s">
        <v>126</v>
      </c>
      <c r="C27" s="418">
        <v>58577.29</v>
      </c>
      <c r="D27" s="431">
        <v>127322.12</v>
      </c>
      <c r="E27" s="432">
        <v>75000</v>
      </c>
      <c r="F27" s="421">
        <v>103978.96</v>
      </c>
      <c r="G27" s="421">
        <v>105000</v>
      </c>
      <c r="H27" s="421">
        <v>125685.58</v>
      </c>
      <c r="I27" s="422">
        <v>105000</v>
      </c>
      <c r="J27" s="422"/>
      <c r="K27" s="422">
        <v>112034</v>
      </c>
      <c r="L27" s="422">
        <v>130000</v>
      </c>
      <c r="M27" s="422">
        <v>130000</v>
      </c>
    </row>
    <row r="28" spans="1:15" x14ac:dyDescent="0.45">
      <c r="A28" s="401" t="s">
        <v>128</v>
      </c>
      <c r="B28" s="401" t="s">
        <v>129</v>
      </c>
      <c r="C28" s="418">
        <v>30000</v>
      </c>
      <c r="D28" s="431">
        <v>20950</v>
      </c>
      <c r="E28" s="432">
        <v>15000</v>
      </c>
      <c r="F28" s="421">
        <v>20325</v>
      </c>
      <c r="G28" s="421">
        <v>25000</v>
      </c>
      <c r="H28" s="421">
        <v>29097.3</v>
      </c>
      <c r="I28" s="422">
        <v>25000</v>
      </c>
      <c r="J28" s="422"/>
      <c r="K28" s="422">
        <v>22724</v>
      </c>
      <c r="L28" s="433">
        <v>20000</v>
      </c>
      <c r="M28" s="422">
        <v>20000</v>
      </c>
      <c r="O28" s="393" t="s">
        <v>580</v>
      </c>
    </row>
    <row r="29" spans="1:15" x14ac:dyDescent="0.45">
      <c r="A29" s="401" t="s">
        <v>131</v>
      </c>
      <c r="B29" s="401" t="s">
        <v>588</v>
      </c>
      <c r="C29" s="418">
        <v>0</v>
      </c>
      <c r="D29" s="431">
        <v>9629.85</v>
      </c>
      <c r="E29" s="432">
        <v>1000</v>
      </c>
      <c r="F29" s="421">
        <v>10201.280000000001</v>
      </c>
      <c r="G29" s="421">
        <v>7500</v>
      </c>
      <c r="H29" s="421">
        <v>5789.34</v>
      </c>
      <c r="I29" s="422">
        <v>7500</v>
      </c>
      <c r="J29" s="422"/>
      <c r="K29" s="422">
        <v>10000</v>
      </c>
      <c r="L29" s="422">
        <v>10000</v>
      </c>
      <c r="M29" s="422">
        <v>10000</v>
      </c>
      <c r="N29" s="394" t="s">
        <v>587</v>
      </c>
      <c r="O29" s="394" t="s">
        <v>587</v>
      </c>
    </row>
    <row r="30" spans="1:15" x14ac:dyDescent="0.45">
      <c r="A30" s="401" t="s">
        <v>586</v>
      </c>
      <c r="B30" s="401" t="s">
        <v>585</v>
      </c>
      <c r="C30" s="418">
        <v>250</v>
      </c>
      <c r="D30" s="431">
        <v>318</v>
      </c>
      <c r="E30" s="432">
        <v>1000</v>
      </c>
      <c r="F30" s="421">
        <v>0</v>
      </c>
      <c r="G30" s="421">
        <v>1500</v>
      </c>
      <c r="H30" s="421">
        <v>0</v>
      </c>
      <c r="I30" s="422">
        <v>1500</v>
      </c>
      <c r="J30" s="422"/>
      <c r="K30" s="422">
        <v>1500</v>
      </c>
      <c r="L30" s="422">
        <v>10000</v>
      </c>
      <c r="M30" s="422">
        <v>10000</v>
      </c>
    </row>
    <row r="31" spans="1:15" ht="42.75" x14ac:dyDescent="0.45">
      <c r="A31" s="401" t="s">
        <v>134</v>
      </c>
      <c r="B31" s="401" t="s">
        <v>135</v>
      </c>
      <c r="C31" s="418">
        <v>0</v>
      </c>
      <c r="D31" s="431">
        <v>0</v>
      </c>
      <c r="E31" s="432">
        <v>2000</v>
      </c>
      <c r="F31" s="421">
        <v>0</v>
      </c>
      <c r="G31" s="421">
        <v>3500</v>
      </c>
      <c r="H31" s="421">
        <v>0</v>
      </c>
      <c r="I31" s="422">
        <v>4500</v>
      </c>
      <c r="J31" s="422"/>
      <c r="K31" s="422">
        <v>1500</v>
      </c>
      <c r="L31" s="422">
        <v>10000</v>
      </c>
      <c r="M31" s="422">
        <v>10000</v>
      </c>
      <c r="O31" s="399" t="s">
        <v>584</v>
      </c>
    </row>
    <row r="32" spans="1:15" x14ac:dyDescent="0.45">
      <c r="A32" s="401">
        <v>5327</v>
      </c>
      <c r="B32" s="401" t="s">
        <v>583</v>
      </c>
      <c r="C32" s="418"/>
      <c r="D32" s="431"/>
      <c r="E32" s="432"/>
      <c r="F32" s="421"/>
      <c r="G32" s="421"/>
      <c r="H32" s="421">
        <v>49</v>
      </c>
      <c r="I32" s="422"/>
      <c r="J32" s="422"/>
      <c r="K32" s="422"/>
      <c r="L32" s="422"/>
      <c r="M32" s="422"/>
    </row>
    <row r="33" spans="1:15" x14ac:dyDescent="0.45">
      <c r="A33" s="401" t="s">
        <v>137</v>
      </c>
      <c r="B33" s="401" t="s">
        <v>138</v>
      </c>
      <c r="C33" s="418">
        <v>1014.82</v>
      </c>
      <c r="D33" s="431">
        <v>15695.15</v>
      </c>
      <c r="E33" s="432">
        <v>15000</v>
      </c>
      <c r="F33" s="421">
        <v>15220.34</v>
      </c>
      <c r="G33" s="421">
        <v>25000</v>
      </c>
      <c r="H33" s="421">
        <v>25426.9</v>
      </c>
      <c r="I33" s="422">
        <v>25000</v>
      </c>
      <c r="J33" s="422"/>
      <c r="K33" s="422">
        <v>24085</v>
      </c>
      <c r="L33" s="422">
        <v>25000</v>
      </c>
      <c r="M33" s="422">
        <v>25000</v>
      </c>
    </row>
    <row r="34" spans="1:15" x14ac:dyDescent="0.45">
      <c r="A34" s="401" t="s">
        <v>582</v>
      </c>
      <c r="B34" s="401" t="s">
        <v>581</v>
      </c>
      <c r="C34" s="418">
        <v>6700</v>
      </c>
      <c r="D34" s="431">
        <v>3429.41</v>
      </c>
      <c r="E34" s="432">
        <v>5000</v>
      </c>
      <c r="F34" s="421">
        <v>6327.7</v>
      </c>
      <c r="G34" s="421">
        <v>7500</v>
      </c>
      <c r="H34" s="421">
        <v>0</v>
      </c>
      <c r="I34" s="422">
        <v>7500</v>
      </c>
      <c r="J34" s="422"/>
      <c r="K34" s="422">
        <v>3250</v>
      </c>
      <c r="L34" s="422">
        <v>4000</v>
      </c>
      <c r="M34" s="422">
        <v>4000</v>
      </c>
      <c r="O34" s="393" t="s">
        <v>580</v>
      </c>
    </row>
    <row r="35" spans="1:15" ht="42.75" x14ac:dyDescent="0.45">
      <c r="A35" s="401" t="s">
        <v>139</v>
      </c>
      <c r="B35" s="401" t="s">
        <v>140</v>
      </c>
      <c r="C35" s="418">
        <v>245964.79</v>
      </c>
      <c r="D35" s="431">
        <v>595735.91</v>
      </c>
      <c r="E35" s="432">
        <v>320000</v>
      </c>
      <c r="F35" s="421">
        <v>334380.23</v>
      </c>
      <c r="G35" s="421">
        <v>375000</v>
      </c>
      <c r="H35" s="421">
        <v>644592.79</v>
      </c>
      <c r="I35" s="422">
        <f>(600*500)+(130*350)</f>
        <v>345500</v>
      </c>
      <c r="J35" s="422"/>
      <c r="K35" s="422">
        <v>525000</v>
      </c>
      <c r="L35" s="422">
        <v>736326.25</v>
      </c>
      <c r="M35" s="422">
        <v>550000</v>
      </c>
      <c r="N35" s="403"/>
      <c r="O35" s="399" t="s">
        <v>579</v>
      </c>
    </row>
    <row r="36" spans="1:15" x14ac:dyDescent="0.45">
      <c r="A36" s="401" t="s">
        <v>578</v>
      </c>
      <c r="B36" s="401" t="s">
        <v>577</v>
      </c>
      <c r="C36" s="418">
        <v>7545.55</v>
      </c>
      <c r="D36" s="431">
        <v>20555.98</v>
      </c>
      <c r="E36" s="432">
        <v>12000</v>
      </c>
      <c r="F36" s="421">
        <v>11275.56</v>
      </c>
      <c r="G36" s="421">
        <v>15000</v>
      </c>
      <c r="H36" s="421">
        <v>41350</v>
      </c>
      <c r="I36" s="422">
        <v>15000</v>
      </c>
      <c r="J36" s="422"/>
      <c r="K36" s="422">
        <v>22500</v>
      </c>
      <c r="L36" s="434"/>
      <c r="M36" s="434"/>
      <c r="N36" s="403" t="s">
        <v>576</v>
      </c>
      <c r="O36" s="393" t="s">
        <v>575</v>
      </c>
    </row>
    <row r="37" spans="1:15" ht="28.5" x14ac:dyDescent="0.45">
      <c r="A37" s="401" t="s">
        <v>144</v>
      </c>
      <c r="B37" s="401" t="s">
        <v>145</v>
      </c>
      <c r="C37" s="418">
        <v>0</v>
      </c>
      <c r="D37" s="431">
        <f>1313.75+23.51</f>
        <v>1337.26</v>
      </c>
      <c r="E37" s="432">
        <v>1500</v>
      </c>
      <c r="F37" s="421">
        <v>0</v>
      </c>
      <c r="G37" s="421">
        <v>2500</v>
      </c>
      <c r="H37" s="421">
        <v>10898.03</v>
      </c>
      <c r="I37" s="422">
        <v>2500</v>
      </c>
      <c r="J37" s="422"/>
      <c r="K37" s="422">
        <v>7500</v>
      </c>
      <c r="L37" s="422">
        <v>7500</v>
      </c>
      <c r="M37" s="422">
        <v>7500</v>
      </c>
      <c r="N37" s="394" t="s">
        <v>574</v>
      </c>
      <c r="O37" s="399" t="s">
        <v>573</v>
      </c>
    </row>
    <row r="38" spans="1:15" ht="28.5" x14ac:dyDescent="0.45">
      <c r="A38" s="401" t="s">
        <v>572</v>
      </c>
      <c r="B38" s="401" t="s">
        <v>571</v>
      </c>
      <c r="C38" s="418"/>
      <c r="D38" s="431">
        <v>3830.47</v>
      </c>
      <c r="E38" s="432"/>
      <c r="F38" s="421">
        <v>776.45</v>
      </c>
      <c r="G38" s="421">
        <v>500</v>
      </c>
      <c r="H38" s="421">
        <v>881.75</v>
      </c>
      <c r="I38" s="422">
        <v>750</v>
      </c>
      <c r="J38" s="422"/>
      <c r="K38" s="422"/>
      <c r="L38" s="422">
        <v>0</v>
      </c>
      <c r="M38" s="422">
        <v>0</v>
      </c>
      <c r="O38" s="399" t="s">
        <v>570</v>
      </c>
    </row>
    <row r="39" spans="1:15" ht="28.5" x14ac:dyDescent="0.45">
      <c r="A39" s="401" t="s">
        <v>147</v>
      </c>
      <c r="B39" s="401" t="s">
        <v>148</v>
      </c>
      <c r="C39" s="418">
        <v>45100</v>
      </c>
      <c r="D39" s="431">
        <v>83607.95</v>
      </c>
      <c r="E39" s="432">
        <v>75000</v>
      </c>
      <c r="F39" s="421">
        <v>77500</v>
      </c>
      <c r="G39" s="421">
        <v>75000</v>
      </c>
      <c r="H39" s="421">
        <v>42000</v>
      </c>
      <c r="I39" s="422">
        <v>75000</v>
      </c>
      <c r="J39" s="422"/>
      <c r="K39" s="422">
        <v>75000</v>
      </c>
      <c r="L39" s="422">
        <v>85000</v>
      </c>
      <c r="M39" s="422">
        <v>85000</v>
      </c>
      <c r="O39" s="399" t="s">
        <v>569</v>
      </c>
    </row>
    <row r="40" spans="1:15" x14ac:dyDescent="0.45">
      <c r="A40" s="401" t="s">
        <v>151</v>
      </c>
      <c r="B40" s="401" t="s">
        <v>152</v>
      </c>
      <c r="C40" s="418">
        <v>5718.42</v>
      </c>
      <c r="D40" s="431">
        <v>7000</v>
      </c>
      <c r="E40" s="432">
        <v>6000</v>
      </c>
      <c r="F40" s="421">
        <v>2731.08</v>
      </c>
      <c r="G40" s="421">
        <v>6000</v>
      </c>
      <c r="H40" s="421">
        <v>6474.48</v>
      </c>
      <c r="I40" s="422">
        <v>7000</v>
      </c>
      <c r="J40" s="422"/>
      <c r="K40" s="422">
        <v>3664</v>
      </c>
      <c r="L40" s="422">
        <v>5000</v>
      </c>
      <c r="M40" s="422">
        <v>5000</v>
      </c>
    </row>
    <row r="41" spans="1:15" ht="57" x14ac:dyDescent="0.45">
      <c r="A41" s="401" t="s">
        <v>568</v>
      </c>
      <c r="B41" s="401" t="s">
        <v>567</v>
      </c>
      <c r="C41" s="418">
        <v>93.5</v>
      </c>
      <c r="D41" s="431">
        <v>65705.84</v>
      </c>
      <c r="E41" s="432"/>
      <c r="F41" s="421">
        <v>68701.25</v>
      </c>
      <c r="G41" s="421">
        <v>66000</v>
      </c>
      <c r="H41" s="421">
        <v>80240.320000000007</v>
      </c>
      <c r="I41" s="422">
        <v>68000</v>
      </c>
      <c r="J41" s="422"/>
      <c r="K41" s="422">
        <v>72000</v>
      </c>
      <c r="L41" s="422">
        <v>100000</v>
      </c>
      <c r="M41" s="422">
        <v>100000</v>
      </c>
      <c r="N41" s="402"/>
      <c r="O41" s="399" t="s">
        <v>566</v>
      </c>
    </row>
    <row r="42" spans="1:15" x14ac:dyDescent="0.45">
      <c r="A42" s="401" t="s">
        <v>155</v>
      </c>
      <c r="B42" s="401" t="s">
        <v>156</v>
      </c>
      <c r="C42" s="418">
        <v>29949.35</v>
      </c>
      <c r="D42" s="431"/>
      <c r="E42" s="432">
        <v>41000</v>
      </c>
      <c r="F42" s="421">
        <v>0</v>
      </c>
      <c r="G42" s="421">
        <v>500</v>
      </c>
      <c r="H42" s="421">
        <v>40943.879999999997</v>
      </c>
      <c r="I42" s="422"/>
      <c r="J42" s="422"/>
      <c r="K42" s="422"/>
      <c r="L42" s="422"/>
      <c r="M42" s="422"/>
    </row>
    <row r="43" spans="1:15" ht="42.75" x14ac:dyDescent="0.45">
      <c r="A43" s="401">
        <v>5511</v>
      </c>
      <c r="B43" s="401" t="s">
        <v>565</v>
      </c>
      <c r="C43" s="418"/>
      <c r="D43" s="431"/>
      <c r="E43" s="432"/>
      <c r="F43" s="421"/>
      <c r="G43" s="421"/>
      <c r="H43" s="421"/>
      <c r="I43" s="422"/>
      <c r="J43" s="422"/>
      <c r="K43" s="422">
        <v>38500</v>
      </c>
      <c r="L43" s="422">
        <v>38500</v>
      </c>
      <c r="M43" s="422">
        <v>38500</v>
      </c>
      <c r="N43" s="400" t="s">
        <v>564</v>
      </c>
      <c r="O43" s="399" t="s">
        <v>563</v>
      </c>
    </row>
    <row r="44" spans="1:15" x14ac:dyDescent="0.45">
      <c r="A44" s="397"/>
      <c r="B44" s="397" t="s">
        <v>64</v>
      </c>
      <c r="C44" s="427">
        <v>489471.34</v>
      </c>
      <c r="D44" s="427">
        <v>992015.18</v>
      </c>
      <c r="E44" s="427">
        <f>SUM(E17:E41)</f>
        <v>557950</v>
      </c>
      <c r="F44" s="435">
        <v>682592.42</v>
      </c>
      <c r="G44" s="435">
        <v>750800</v>
      </c>
      <c r="H44" s="429">
        <f>SUM(H17:H43)</f>
        <v>1087699.0899999999</v>
      </c>
      <c r="I44" s="436">
        <f>SUM(I17:I41)</f>
        <v>726200</v>
      </c>
      <c r="J44" s="436">
        <f>SUM(J17:J41)</f>
        <v>0</v>
      </c>
      <c r="K44" s="436">
        <f>SUM(K17:K43)</f>
        <v>949491</v>
      </c>
      <c r="L44" s="442">
        <f>SUM(L17:L43)</f>
        <v>1215326.25</v>
      </c>
      <c r="M44" s="436">
        <f>SUM(M17:M43)</f>
        <v>1029000</v>
      </c>
      <c r="N44" s="398"/>
    </row>
    <row r="45" spans="1:15" x14ac:dyDescent="0.45">
      <c r="A45" s="397"/>
      <c r="B45" s="397"/>
      <c r="C45" s="427"/>
      <c r="D45" s="427"/>
      <c r="E45" s="427"/>
      <c r="F45" s="437"/>
      <c r="G45" s="428"/>
      <c r="H45" s="428"/>
      <c r="I45" s="438"/>
      <c r="J45" s="438"/>
      <c r="K45" s="438"/>
      <c r="L45" s="438"/>
      <c r="M45" s="438"/>
    </row>
    <row r="46" spans="1:15" x14ac:dyDescent="0.45">
      <c r="A46" s="397"/>
      <c r="B46" s="397" t="s">
        <v>65</v>
      </c>
      <c r="C46" s="427">
        <v>58136.160000000003</v>
      </c>
      <c r="D46" s="427">
        <f>D14-D44</f>
        <v>84873.319999999949</v>
      </c>
      <c r="E46" s="427">
        <f>E13-E44</f>
        <v>-437950</v>
      </c>
      <c r="F46" s="439">
        <v>309852.58</v>
      </c>
      <c r="G46" s="428">
        <v>16950</v>
      </c>
      <c r="H46" s="429">
        <f t="shared" ref="H46:M46" si="1">H14-H44</f>
        <v>131.81000000005588</v>
      </c>
      <c r="I46" s="429">
        <f t="shared" si="1"/>
        <v>73050</v>
      </c>
      <c r="J46" s="429">
        <f t="shared" si="1"/>
        <v>160</v>
      </c>
      <c r="K46" s="429">
        <f t="shared" si="1"/>
        <v>56209</v>
      </c>
      <c r="L46" s="429">
        <f t="shared" si="1"/>
        <v>200173.75</v>
      </c>
      <c r="M46" s="429">
        <f t="shared" si="1"/>
        <v>316500</v>
      </c>
    </row>
    <row r="47" spans="1:15" x14ac:dyDescent="0.45">
      <c r="F47" s="396"/>
      <c r="I47" s="395"/>
      <c r="J47" s="395"/>
      <c r="K47" s="395"/>
      <c r="L47" s="395"/>
      <c r="M47" s="395"/>
    </row>
  </sheetData>
  <mergeCells count="2">
    <mergeCell ref="A1:I1"/>
    <mergeCell ref="A4:G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8B583-F483-49E3-93D1-E4A950CD1BE4}">
  <dimension ref="A1:O21"/>
  <sheetViews>
    <sheetView topLeftCell="A3" zoomScale="90" zoomScaleNormal="90" workbookViewId="0">
      <selection activeCell="K16" sqref="K16"/>
    </sheetView>
  </sheetViews>
  <sheetFormatPr defaultColWidth="9.19921875" defaultRowHeight="12.75" x14ac:dyDescent="0.35"/>
  <cols>
    <col min="1" max="1" width="14.19921875" style="1" customWidth="1"/>
    <col min="2" max="2" width="26.46484375" style="1" customWidth="1"/>
    <col min="3" max="5" width="12.59765625" style="1" customWidth="1"/>
    <col min="6" max="8" width="14.46484375" style="1" customWidth="1"/>
    <col min="9" max="13" width="12.59765625" style="1" customWidth="1"/>
    <col min="14" max="14" width="27.59765625" style="1" customWidth="1"/>
    <col min="15" max="15" width="33.46484375" style="56" customWidth="1"/>
    <col min="16" max="16384" width="9.19921875" style="1"/>
  </cols>
  <sheetData>
    <row r="1" spans="1:15" s="58" customFormat="1" ht="13.15" x14ac:dyDescent="0.4">
      <c r="A1" s="445" t="s">
        <v>543</v>
      </c>
      <c r="B1" s="445"/>
      <c r="C1" s="445"/>
      <c r="D1" s="445"/>
      <c r="E1" s="445"/>
      <c r="F1" s="445"/>
      <c r="G1" s="445"/>
      <c r="H1" s="445"/>
      <c r="I1" s="445"/>
      <c r="J1" s="54"/>
      <c r="K1" s="54"/>
      <c r="L1" s="54"/>
      <c r="M1" s="54"/>
      <c r="N1" s="54" t="s">
        <v>3</v>
      </c>
      <c r="O1" s="133" t="s">
        <v>4</v>
      </c>
    </row>
    <row r="2" spans="1:15" s="58" customFormat="1" ht="13.15" x14ac:dyDescent="0.4">
      <c r="A2" s="57" t="s">
        <v>1</v>
      </c>
      <c r="C2" s="57">
        <v>2021</v>
      </c>
      <c r="D2" s="57">
        <v>2022</v>
      </c>
      <c r="E2" s="57">
        <v>2022</v>
      </c>
      <c r="F2" s="57">
        <v>2023</v>
      </c>
      <c r="G2" s="57">
        <v>2023</v>
      </c>
      <c r="H2" s="57">
        <v>2024</v>
      </c>
      <c r="I2" s="57">
        <v>2024</v>
      </c>
      <c r="J2" s="59">
        <v>45870</v>
      </c>
      <c r="K2" s="57">
        <v>2025</v>
      </c>
      <c r="L2" s="57">
        <v>2026</v>
      </c>
      <c r="M2" s="57">
        <v>2027</v>
      </c>
      <c r="O2" s="131"/>
    </row>
    <row r="3" spans="1:15" s="58" customFormat="1" ht="13.15" x14ac:dyDescent="0.4">
      <c r="A3" s="225" t="s">
        <v>5</v>
      </c>
      <c r="B3" s="225" t="s">
        <v>6</v>
      </c>
      <c r="C3" s="225" t="s">
        <v>7</v>
      </c>
      <c r="D3" s="225" t="s">
        <v>8</v>
      </c>
      <c r="E3" s="225" t="s">
        <v>7</v>
      </c>
      <c r="F3" s="225" t="s">
        <v>10</v>
      </c>
      <c r="G3" s="225" t="s">
        <v>9</v>
      </c>
      <c r="H3" s="226" t="s">
        <v>8</v>
      </c>
      <c r="I3" s="309" t="s">
        <v>7</v>
      </c>
      <c r="J3" s="309" t="s">
        <v>11</v>
      </c>
      <c r="K3" s="309" t="s">
        <v>7</v>
      </c>
      <c r="L3" s="309" t="s">
        <v>7</v>
      </c>
      <c r="M3" s="309" t="s">
        <v>7</v>
      </c>
      <c r="O3" s="131"/>
    </row>
    <row r="4" spans="1:15" s="58" customFormat="1" ht="13.15" x14ac:dyDescent="0.4">
      <c r="A4" s="449" t="s">
        <v>12</v>
      </c>
      <c r="B4" s="450"/>
      <c r="C4" s="450"/>
      <c r="D4" s="450"/>
      <c r="E4" s="450"/>
      <c r="F4" s="450"/>
      <c r="G4" s="450"/>
      <c r="O4" s="131"/>
    </row>
    <row r="5" spans="1:15" s="58" customFormat="1" ht="13.15" x14ac:dyDescent="0.4">
      <c r="A5" s="344"/>
      <c r="B5" s="344"/>
      <c r="C5" s="353"/>
      <c r="D5" s="353"/>
      <c r="E5" s="353"/>
      <c r="F5" s="353"/>
      <c r="G5" s="353"/>
      <c r="H5" s="353"/>
      <c r="O5" s="131"/>
    </row>
    <row r="6" spans="1:15" s="58" customFormat="1" ht="13.15" x14ac:dyDescent="0.4">
      <c r="A6" s="451" t="s">
        <v>18</v>
      </c>
      <c r="B6" s="452"/>
      <c r="C6" s="452"/>
      <c r="D6" s="452"/>
      <c r="E6" s="452"/>
      <c r="F6" s="452"/>
      <c r="G6" s="452"/>
      <c r="H6" s="114"/>
      <c r="I6" s="114"/>
      <c r="J6" s="114"/>
      <c r="K6" s="3"/>
      <c r="L6" s="3"/>
      <c r="M6" s="3"/>
      <c r="O6" s="131"/>
    </row>
    <row r="7" spans="1:15" s="58" customFormat="1" x14ac:dyDescent="0.35">
      <c r="A7" s="18" t="s">
        <v>19</v>
      </c>
      <c r="B7" s="18" t="s">
        <v>20</v>
      </c>
      <c r="C7" s="19">
        <v>0</v>
      </c>
      <c r="D7" s="19">
        <v>0</v>
      </c>
      <c r="E7" s="181">
        <v>250</v>
      </c>
      <c r="F7" s="19">
        <v>0</v>
      </c>
      <c r="G7" s="19">
        <v>250</v>
      </c>
      <c r="H7" s="19">
        <v>0</v>
      </c>
      <c r="I7" s="19">
        <v>150</v>
      </c>
      <c r="J7" s="19"/>
      <c r="K7" s="19">
        <v>0</v>
      </c>
      <c r="L7" s="19">
        <v>0</v>
      </c>
      <c r="M7" s="19">
        <v>0</v>
      </c>
      <c r="O7" s="131"/>
    </row>
    <row r="8" spans="1:15" s="58" customFormat="1" x14ac:dyDescent="0.35">
      <c r="A8" s="18" t="s">
        <v>116</v>
      </c>
      <c r="B8" s="18" t="s">
        <v>117</v>
      </c>
      <c r="C8" s="19">
        <v>0</v>
      </c>
      <c r="D8" s="19">
        <v>0</v>
      </c>
      <c r="E8" s="181">
        <v>125</v>
      </c>
      <c r="F8" s="19">
        <v>0</v>
      </c>
      <c r="G8" s="19">
        <v>125</v>
      </c>
      <c r="H8" s="19">
        <v>0</v>
      </c>
      <c r="I8" s="19">
        <v>100</v>
      </c>
      <c r="J8" s="19"/>
      <c r="K8" s="19">
        <v>100</v>
      </c>
      <c r="L8" s="19">
        <v>100</v>
      </c>
      <c r="M8" s="19">
        <v>100</v>
      </c>
      <c r="O8" s="131"/>
    </row>
    <row r="9" spans="1:15" s="58" customFormat="1" x14ac:dyDescent="0.35">
      <c r="A9" s="18" t="s">
        <v>22</v>
      </c>
      <c r="B9" s="18" t="s">
        <v>23</v>
      </c>
      <c r="C9" s="19">
        <v>4112</v>
      </c>
      <c r="D9" s="19">
        <v>2560.4299999999998</v>
      </c>
      <c r="E9" s="181">
        <v>4500</v>
      </c>
      <c r="F9" s="19">
        <v>1132.46</v>
      </c>
      <c r="G9" s="19">
        <v>4500</v>
      </c>
      <c r="H9" s="19">
        <v>0</v>
      </c>
      <c r="I9" s="19">
        <v>4500</v>
      </c>
      <c r="J9" s="19"/>
      <c r="K9" s="19">
        <v>1500</v>
      </c>
      <c r="L9" s="19">
        <v>1500</v>
      </c>
      <c r="M9" s="19">
        <v>1500</v>
      </c>
      <c r="O9" s="131"/>
    </row>
    <row r="10" spans="1:15" s="58" customFormat="1" x14ac:dyDescent="0.35">
      <c r="A10" s="18">
        <v>5280</v>
      </c>
      <c r="B10" s="18" t="s">
        <v>28</v>
      </c>
      <c r="C10" s="19"/>
      <c r="D10" s="19">
        <v>-374.77</v>
      </c>
      <c r="E10" s="181"/>
      <c r="F10" s="19"/>
      <c r="G10" s="19"/>
      <c r="H10" s="19"/>
      <c r="I10" s="19"/>
      <c r="J10" s="109"/>
      <c r="K10" s="19"/>
      <c r="L10" s="19"/>
      <c r="M10" s="19"/>
      <c r="O10" s="131"/>
    </row>
    <row r="11" spans="1:15" s="58" customFormat="1" ht="76.5" x14ac:dyDescent="0.35">
      <c r="A11" s="18" t="s">
        <v>339</v>
      </c>
      <c r="B11" s="18" t="s">
        <v>338</v>
      </c>
      <c r="C11" s="19"/>
      <c r="D11" s="19">
        <v>3815.01</v>
      </c>
      <c r="E11" s="181">
        <f>250*25</f>
        <v>6250</v>
      </c>
      <c r="F11" s="19">
        <v>4750</v>
      </c>
      <c r="G11" s="19">
        <v>11250</v>
      </c>
      <c r="H11" s="19">
        <v>0</v>
      </c>
      <c r="I11" s="19">
        <v>11250</v>
      </c>
      <c r="J11" s="19"/>
      <c r="K11" s="19">
        <v>10000</v>
      </c>
      <c r="L11" s="19">
        <v>70000</v>
      </c>
      <c r="M11" s="19">
        <v>70000</v>
      </c>
      <c r="O11" s="155" t="s">
        <v>337</v>
      </c>
    </row>
    <row r="12" spans="1:15" s="58" customFormat="1" x14ac:dyDescent="0.35">
      <c r="A12" s="18" t="s">
        <v>125</v>
      </c>
      <c r="B12" s="18" t="s">
        <v>126</v>
      </c>
      <c r="C12" s="19">
        <v>0</v>
      </c>
      <c r="D12" s="19">
        <v>0</v>
      </c>
      <c r="E12" s="181">
        <v>3500</v>
      </c>
      <c r="F12" s="19">
        <v>0</v>
      </c>
      <c r="G12" s="19">
        <v>3500</v>
      </c>
      <c r="H12" s="19">
        <v>0</v>
      </c>
      <c r="I12" s="19">
        <v>2000</v>
      </c>
      <c r="J12" s="19"/>
      <c r="K12" s="19">
        <v>0</v>
      </c>
      <c r="L12" s="19">
        <v>0</v>
      </c>
      <c r="M12" s="19">
        <v>0</v>
      </c>
      <c r="N12" s="58" t="s">
        <v>336</v>
      </c>
      <c r="O12" s="131"/>
    </row>
    <row r="13" spans="1:15" s="58" customFormat="1" ht="25.5" x14ac:dyDescent="0.35">
      <c r="A13" s="18" t="s">
        <v>139</v>
      </c>
      <c r="B13" s="18" t="s">
        <v>140</v>
      </c>
      <c r="C13" s="19">
        <v>0</v>
      </c>
      <c r="D13" s="19">
        <v>0</v>
      </c>
      <c r="E13" s="181">
        <v>25000</v>
      </c>
      <c r="F13" s="19">
        <v>3997.64</v>
      </c>
      <c r="G13" s="19">
        <v>23000</v>
      </c>
      <c r="H13" s="19">
        <v>0</v>
      </c>
      <c r="I13" s="19">
        <v>8000</v>
      </c>
      <c r="J13" s="19"/>
      <c r="K13" s="19">
        <v>8000</v>
      </c>
      <c r="L13" s="19">
        <v>0</v>
      </c>
      <c r="M13" s="19">
        <v>0</v>
      </c>
      <c r="N13" s="58" t="s">
        <v>335</v>
      </c>
      <c r="O13" s="155" t="s">
        <v>334</v>
      </c>
    </row>
    <row r="14" spans="1:15" s="58" customFormat="1" x14ac:dyDescent="0.35">
      <c r="A14" s="18" t="s">
        <v>147</v>
      </c>
      <c r="B14" s="18" t="s">
        <v>148</v>
      </c>
      <c r="C14" s="19">
        <v>11250</v>
      </c>
      <c r="D14" s="19">
        <v>19363.04</v>
      </c>
      <c r="E14" s="181">
        <f>6*4000</f>
        <v>24000</v>
      </c>
      <c r="F14" s="19">
        <v>21158.97</v>
      </c>
      <c r="G14" s="19">
        <v>24000</v>
      </c>
      <c r="H14" s="19">
        <v>3210</v>
      </c>
      <c r="I14" s="19">
        <v>24000</v>
      </c>
      <c r="J14" s="19">
        <v>750</v>
      </c>
      <c r="K14" s="19">
        <v>15000</v>
      </c>
      <c r="L14" s="19">
        <v>15000</v>
      </c>
      <c r="M14" s="19">
        <v>15000</v>
      </c>
      <c r="N14" s="58" t="s">
        <v>333</v>
      </c>
      <c r="O14" s="131" t="s">
        <v>333</v>
      </c>
    </row>
    <row r="15" spans="1:15" s="58" customFormat="1" ht="13.15" x14ac:dyDescent="0.4">
      <c r="A15" s="9"/>
      <c r="B15" s="9" t="s">
        <v>64</v>
      </c>
      <c r="C15" s="50">
        <v>15362</v>
      </c>
      <c r="D15" s="50">
        <v>25363.71</v>
      </c>
      <c r="E15" s="50">
        <f>SUM(E7:E14)</f>
        <v>63625</v>
      </c>
      <c r="F15" s="50">
        <v>31039.07</v>
      </c>
      <c r="G15" s="50">
        <v>66625</v>
      </c>
      <c r="H15" s="50">
        <v>3210</v>
      </c>
      <c r="I15" s="50">
        <f>SUM(I7:I14)</f>
        <v>50000</v>
      </c>
      <c r="J15" s="50">
        <f>SUM(J7:J14)</f>
        <v>750</v>
      </c>
      <c r="K15" s="50">
        <f>SUM(K7:K14)</f>
        <v>34600</v>
      </c>
      <c r="L15" s="50">
        <f>SUM(L7:L14)</f>
        <v>86600</v>
      </c>
      <c r="M15" s="50">
        <f>SUM(M7:M14)</f>
        <v>86600</v>
      </c>
      <c r="O15" s="131"/>
    </row>
    <row r="16" spans="1:15" s="58" customFormat="1" ht="13.15" x14ac:dyDescent="0.4">
      <c r="A16" s="9"/>
      <c r="B16" s="9"/>
      <c r="C16" s="50"/>
      <c r="D16" s="50"/>
      <c r="E16" s="50"/>
      <c r="F16" s="354"/>
      <c r="G16" s="50"/>
      <c r="H16" s="50"/>
      <c r="I16" s="50"/>
      <c r="J16" s="50"/>
      <c r="K16" s="50"/>
      <c r="L16" s="50"/>
      <c r="M16" s="50"/>
      <c r="O16" s="131"/>
    </row>
    <row r="17" spans="1:15" s="58" customFormat="1" ht="13.15" x14ac:dyDescent="0.4">
      <c r="A17" s="9"/>
      <c r="B17" s="9" t="s">
        <v>65</v>
      </c>
      <c r="C17" s="50">
        <v>-15362</v>
      </c>
      <c r="D17" s="50">
        <v>-25363.71</v>
      </c>
      <c r="E17" s="50">
        <f>SUM(-E15)</f>
        <v>-63625</v>
      </c>
      <c r="F17" s="50">
        <v>-31039.07</v>
      </c>
      <c r="G17" s="50">
        <v>-66625</v>
      </c>
      <c r="H17" s="50">
        <v>-3210</v>
      </c>
      <c r="I17" s="50">
        <f>-I15</f>
        <v>-50000</v>
      </c>
      <c r="J17" s="50">
        <f>-J15</f>
        <v>-750</v>
      </c>
      <c r="K17" s="50">
        <f>-K15</f>
        <v>-34600</v>
      </c>
      <c r="L17" s="50">
        <f>-L15</f>
        <v>-86600</v>
      </c>
      <c r="M17" s="50">
        <f>-M15</f>
        <v>-86600</v>
      </c>
      <c r="O17" s="131"/>
    </row>
    <row r="18" spans="1:15" s="58" customFormat="1" ht="13.15" x14ac:dyDescent="0.4">
      <c r="D18" s="1"/>
      <c r="F18" s="355"/>
      <c r="H18" s="356"/>
      <c r="O18" s="131"/>
    </row>
    <row r="19" spans="1:15" s="58" customFormat="1" x14ac:dyDescent="0.35">
      <c r="C19" s="1"/>
      <c r="D19" s="1"/>
      <c r="E19" s="1"/>
      <c r="O19" s="131"/>
    </row>
    <row r="20" spans="1:15" x14ac:dyDescent="0.35">
      <c r="A20" s="58"/>
      <c r="B20" s="58"/>
      <c r="F20" s="58"/>
      <c r="G20" s="58"/>
      <c r="H20" s="58"/>
      <c r="I20" s="58"/>
      <c r="J20" s="58"/>
      <c r="K20" s="58"/>
      <c r="L20" s="58"/>
      <c r="M20" s="58"/>
    </row>
    <row r="21" spans="1:15" x14ac:dyDescent="0.35">
      <c r="F21" s="58"/>
      <c r="H21" s="58"/>
    </row>
  </sheetData>
  <mergeCells count="3">
    <mergeCell ref="A1:I1"/>
    <mergeCell ref="A4:G4"/>
    <mergeCell ref="A6:G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93903-1311-4A3E-B37A-F6FB51445C37}">
  <dimension ref="A1:Q41"/>
  <sheetViews>
    <sheetView topLeftCell="A3" zoomScale="90" zoomScaleNormal="90" workbookViewId="0">
      <selection activeCell="K35" sqref="K35"/>
    </sheetView>
  </sheetViews>
  <sheetFormatPr defaultColWidth="9.19921875" defaultRowHeight="12.75" x14ac:dyDescent="0.35"/>
  <cols>
    <col min="1" max="1" width="11" style="58" customWidth="1"/>
    <col min="2" max="2" width="26.46484375" style="58" customWidth="1"/>
    <col min="3" max="3" width="11.46484375" style="58" customWidth="1"/>
    <col min="4" max="5" width="12.59765625" style="58" customWidth="1"/>
    <col min="6" max="8" width="14.46484375" style="58" customWidth="1"/>
    <col min="9" max="10" width="14.796875" style="58" customWidth="1"/>
    <col min="11" max="13" width="13.46484375" style="58" customWidth="1"/>
    <col min="14" max="14" width="32" style="34" customWidth="1"/>
    <col min="15" max="15" width="32" style="131" customWidth="1"/>
    <col min="16" max="16" width="21.33203125" style="58" customWidth="1"/>
    <col min="17" max="16384" width="9.19921875" style="58"/>
  </cols>
  <sheetData>
    <row r="1" spans="1:17" ht="13.15" x14ac:dyDescent="0.4">
      <c r="A1" s="456" t="s">
        <v>282</v>
      </c>
      <c r="B1" s="456"/>
      <c r="C1" s="456"/>
      <c r="D1" s="456"/>
      <c r="E1" s="456"/>
      <c r="F1" s="456"/>
      <c r="G1" s="456"/>
      <c r="H1" s="456"/>
      <c r="I1" s="457"/>
      <c r="J1" s="54"/>
      <c r="K1" s="54"/>
      <c r="L1" s="54"/>
      <c r="M1" s="54"/>
      <c r="N1" s="130"/>
    </row>
    <row r="2" spans="1:17" ht="13.15" x14ac:dyDescent="0.4">
      <c r="A2" s="112" t="s">
        <v>1</v>
      </c>
      <c r="B2" s="114"/>
      <c r="C2" s="134">
        <v>2021</v>
      </c>
      <c r="D2" s="112">
        <v>2022</v>
      </c>
      <c r="E2" s="112">
        <v>2022</v>
      </c>
      <c r="F2" s="112">
        <v>2023</v>
      </c>
      <c r="G2" s="112">
        <v>2023</v>
      </c>
      <c r="H2" s="112">
        <v>2024</v>
      </c>
      <c r="I2" s="2">
        <v>2024</v>
      </c>
      <c r="J2" s="4">
        <v>45870</v>
      </c>
      <c r="K2" s="2">
        <v>2025</v>
      </c>
      <c r="L2" s="2">
        <v>2026</v>
      </c>
      <c r="M2" s="2">
        <v>2027</v>
      </c>
      <c r="N2" s="132" t="s">
        <v>3</v>
      </c>
      <c r="O2" s="133" t="s">
        <v>4</v>
      </c>
      <c r="P2" s="106" t="s">
        <v>197</v>
      </c>
    </row>
    <row r="3" spans="1:17" ht="13.15" x14ac:dyDescent="0.4">
      <c r="A3" s="112" t="s">
        <v>5</v>
      </c>
      <c r="B3" s="112" t="s">
        <v>6</v>
      </c>
      <c r="C3" s="134" t="s">
        <v>7</v>
      </c>
      <c r="D3" s="112" t="s">
        <v>10</v>
      </c>
      <c r="E3" s="112" t="s">
        <v>9</v>
      </c>
      <c r="F3" s="112" t="s">
        <v>10</v>
      </c>
      <c r="G3" s="112" t="s">
        <v>9</v>
      </c>
      <c r="H3" s="112" t="s">
        <v>280</v>
      </c>
      <c r="I3" s="2" t="s">
        <v>7</v>
      </c>
      <c r="J3" s="2" t="s">
        <v>11</v>
      </c>
      <c r="K3" s="2" t="s">
        <v>7</v>
      </c>
      <c r="L3" s="2" t="s">
        <v>7</v>
      </c>
      <c r="M3" s="2" t="s">
        <v>7</v>
      </c>
    </row>
    <row r="4" spans="1:17" ht="13.15" x14ac:dyDescent="0.4">
      <c r="A4" s="451" t="s">
        <v>12</v>
      </c>
      <c r="B4" s="452"/>
      <c r="C4" s="452"/>
      <c r="D4" s="452"/>
      <c r="E4" s="452"/>
      <c r="F4" s="452"/>
      <c r="G4" s="452"/>
      <c r="H4" s="114"/>
      <c r="I4" s="114"/>
    </row>
    <row r="5" spans="1:17" x14ac:dyDescent="0.35">
      <c r="A5" s="18" t="s">
        <v>93</v>
      </c>
      <c r="B5" s="18" t="s">
        <v>94</v>
      </c>
      <c r="C5" s="135"/>
      <c r="D5" s="115">
        <v>10000</v>
      </c>
      <c r="E5" s="136">
        <v>10000</v>
      </c>
      <c r="F5" s="14">
        <v>4525.2</v>
      </c>
      <c r="G5" s="137">
        <v>6500</v>
      </c>
      <c r="H5" s="13">
        <v>7500</v>
      </c>
      <c r="I5" s="143">
        <f>13*500</f>
        <v>6500</v>
      </c>
      <c r="J5" s="143">
        <v>13000</v>
      </c>
      <c r="K5" s="136">
        <f>13*500</f>
        <v>6500</v>
      </c>
      <c r="L5" s="136">
        <f>17*500</f>
        <v>8500</v>
      </c>
      <c r="M5" s="115">
        <v>8500</v>
      </c>
      <c r="N5" s="229" t="s">
        <v>283</v>
      </c>
      <c r="O5" s="131" t="s">
        <v>284</v>
      </c>
    </row>
    <row r="6" spans="1:17" x14ac:dyDescent="0.35">
      <c r="A6" s="18" t="s">
        <v>285</v>
      </c>
      <c r="B6" s="18" t="s">
        <v>286</v>
      </c>
      <c r="C6" s="138">
        <v>1500</v>
      </c>
      <c r="D6" s="14">
        <v>0</v>
      </c>
      <c r="E6" s="129">
        <v>1500</v>
      </c>
      <c r="F6" s="14"/>
      <c r="G6" s="137">
        <v>1500</v>
      </c>
      <c r="H6" s="19">
        <v>3652.7</v>
      </c>
      <c r="I6" s="88">
        <v>2250</v>
      </c>
      <c r="J6" s="88">
        <v>3130.5</v>
      </c>
      <c r="K6" s="90">
        <v>2500</v>
      </c>
      <c r="L6" s="90">
        <v>3200</v>
      </c>
      <c r="M6" s="87">
        <f>L6*1.03</f>
        <v>3296</v>
      </c>
      <c r="O6" s="131" t="s">
        <v>287</v>
      </c>
      <c r="P6" s="58" t="s">
        <v>288</v>
      </c>
    </row>
    <row r="7" spans="1:17" x14ac:dyDescent="0.35">
      <c r="A7" s="18" t="s">
        <v>289</v>
      </c>
      <c r="B7" s="139" t="s">
        <v>290</v>
      </c>
      <c r="C7" s="138">
        <v>0</v>
      </c>
      <c r="D7" s="19">
        <v>312.5</v>
      </c>
      <c r="E7" s="129">
        <v>270</v>
      </c>
      <c r="F7" s="19">
        <v>210</v>
      </c>
      <c r="G7" s="128">
        <v>270</v>
      </c>
      <c r="H7" s="19">
        <v>258</v>
      </c>
      <c r="I7" s="88">
        <v>150</v>
      </c>
      <c r="J7" s="88">
        <v>45</v>
      </c>
      <c r="K7" s="90">
        <v>200</v>
      </c>
      <c r="L7" s="90">
        <v>50</v>
      </c>
      <c r="M7" s="87">
        <v>50</v>
      </c>
      <c r="O7" s="131" t="s">
        <v>291</v>
      </c>
    </row>
    <row r="8" spans="1:17" x14ac:dyDescent="0.35">
      <c r="A8" s="18" t="s">
        <v>292</v>
      </c>
      <c r="B8" s="18" t="s">
        <v>293</v>
      </c>
      <c r="C8" s="138">
        <v>0</v>
      </c>
      <c r="D8" s="19">
        <v>25</v>
      </c>
      <c r="E8" s="129">
        <v>0</v>
      </c>
      <c r="F8" s="19">
        <v>670</v>
      </c>
      <c r="G8" s="128">
        <v>25</v>
      </c>
      <c r="H8" s="19">
        <v>1015</v>
      </c>
      <c r="I8" s="88">
        <v>250</v>
      </c>
      <c r="J8" s="88">
        <v>710</v>
      </c>
      <c r="K8" s="90">
        <v>500</v>
      </c>
      <c r="L8" s="90">
        <v>700</v>
      </c>
      <c r="M8" s="87">
        <f>L8*1.03</f>
        <v>721</v>
      </c>
      <c r="O8" s="131" t="s">
        <v>294</v>
      </c>
      <c r="P8" s="58" t="s">
        <v>288</v>
      </c>
    </row>
    <row r="9" spans="1:17" x14ac:dyDescent="0.35">
      <c r="A9" s="18" t="s">
        <v>295</v>
      </c>
      <c r="B9" s="18" t="s">
        <v>296</v>
      </c>
      <c r="C9" s="138">
        <v>50</v>
      </c>
      <c r="D9" s="19">
        <v>0</v>
      </c>
      <c r="E9" s="129">
        <v>50</v>
      </c>
      <c r="F9" s="19">
        <v>10</v>
      </c>
      <c r="G9" s="128">
        <v>0</v>
      </c>
      <c r="H9" s="19"/>
      <c r="I9" s="88">
        <v>0</v>
      </c>
      <c r="J9" s="88">
        <v>10</v>
      </c>
      <c r="K9" s="90"/>
      <c r="L9" s="90">
        <v>0</v>
      </c>
      <c r="M9" s="87"/>
    </row>
    <row r="10" spans="1:17" x14ac:dyDescent="0.35">
      <c r="A10" s="18" t="s">
        <v>297</v>
      </c>
      <c r="B10" s="18" t="s">
        <v>298</v>
      </c>
      <c r="C10" s="138">
        <v>50</v>
      </c>
      <c r="D10" s="19">
        <v>10</v>
      </c>
      <c r="E10" s="129">
        <v>50</v>
      </c>
      <c r="F10" s="19">
        <v>0</v>
      </c>
      <c r="G10" s="128">
        <v>50</v>
      </c>
      <c r="H10" s="19">
        <v>10</v>
      </c>
      <c r="I10" s="88">
        <v>0</v>
      </c>
      <c r="J10" s="88"/>
      <c r="K10" s="90"/>
      <c r="L10" s="90">
        <v>0</v>
      </c>
      <c r="M10" s="87"/>
    </row>
    <row r="11" spans="1:17" x14ac:dyDescent="0.35">
      <c r="A11" s="18" t="s">
        <v>299</v>
      </c>
      <c r="B11" s="18" t="s">
        <v>300</v>
      </c>
      <c r="C11" s="140">
        <v>35000</v>
      </c>
      <c r="D11" s="19">
        <v>52488.36</v>
      </c>
      <c r="E11" s="129">
        <v>35000</v>
      </c>
      <c r="F11" s="19">
        <v>59549.17</v>
      </c>
      <c r="G11" s="128">
        <v>75000</v>
      </c>
      <c r="H11" s="19">
        <v>78547.45</v>
      </c>
      <c r="I11" s="88">
        <v>75000</v>
      </c>
      <c r="J11" s="88">
        <v>89508.96</v>
      </c>
      <c r="K11" s="90">
        <v>75000</v>
      </c>
      <c r="L11" s="90">
        <v>100000</v>
      </c>
      <c r="M11" s="87">
        <f>L11*1.03</f>
        <v>103000</v>
      </c>
      <c r="N11" s="34" t="s">
        <v>301</v>
      </c>
      <c r="O11" s="131" t="s">
        <v>302</v>
      </c>
      <c r="P11" s="58" t="s">
        <v>288</v>
      </c>
      <c r="Q11" s="58" t="s">
        <v>632</v>
      </c>
    </row>
    <row r="12" spans="1:17" x14ac:dyDescent="0.35">
      <c r="A12" s="18" t="s">
        <v>303</v>
      </c>
      <c r="B12" s="18" t="s">
        <v>114</v>
      </c>
      <c r="C12" s="141"/>
      <c r="D12" s="19">
        <v>45.94</v>
      </c>
      <c r="E12" s="129">
        <v>35</v>
      </c>
      <c r="F12" s="19">
        <v>157.51</v>
      </c>
      <c r="G12" s="128">
        <v>35</v>
      </c>
      <c r="H12" s="19">
        <v>187.1</v>
      </c>
      <c r="I12" s="88">
        <v>75</v>
      </c>
      <c r="J12" s="88">
        <v>87.5</v>
      </c>
      <c r="K12" s="90">
        <v>150</v>
      </c>
      <c r="L12" s="90">
        <v>100</v>
      </c>
      <c r="M12" s="87">
        <v>100</v>
      </c>
    </row>
    <row r="13" spans="1:17" x14ac:dyDescent="0.35">
      <c r="A13" s="142">
        <v>3451</v>
      </c>
      <c r="B13" s="142" t="s">
        <v>304</v>
      </c>
      <c r="C13" s="138"/>
      <c r="D13" s="143">
        <v>150</v>
      </c>
      <c r="E13" s="143">
        <v>3000</v>
      </c>
      <c r="F13" s="19"/>
      <c r="G13" s="128">
        <v>3000</v>
      </c>
      <c r="H13" s="19">
        <v>5583.33</v>
      </c>
      <c r="I13" s="143">
        <v>3000</v>
      </c>
      <c r="J13" s="143">
        <v>2666.67</v>
      </c>
      <c r="K13" s="136">
        <v>4500</v>
      </c>
      <c r="L13" s="136">
        <v>2500</v>
      </c>
      <c r="M13" s="115">
        <f>L13*1.03</f>
        <v>2575</v>
      </c>
      <c r="O13" s="131" t="s">
        <v>305</v>
      </c>
      <c r="P13" s="58" t="s">
        <v>288</v>
      </c>
    </row>
    <row r="14" spans="1:17" ht="13.15" x14ac:dyDescent="0.4">
      <c r="A14" s="9"/>
      <c r="B14" s="9" t="s">
        <v>17</v>
      </c>
      <c r="C14" s="144">
        <f>SUM(C6:C13)</f>
        <v>36600</v>
      </c>
      <c r="D14" s="50">
        <v>52881.8</v>
      </c>
      <c r="E14" s="145">
        <f>SUM(E6:E12)</f>
        <v>36905</v>
      </c>
      <c r="F14" s="50">
        <v>65121.88</v>
      </c>
      <c r="G14" s="125">
        <v>76880</v>
      </c>
      <c r="H14" s="50">
        <f t="shared" ref="H14:M14" si="0">SUM(H5:H13)</f>
        <v>96753.58</v>
      </c>
      <c r="I14" s="86">
        <f t="shared" si="0"/>
        <v>87225</v>
      </c>
      <c r="J14" s="86">
        <f t="shared" si="0"/>
        <v>109158.63</v>
      </c>
      <c r="K14" s="146">
        <f>SUM(K5:K13)</f>
        <v>89350</v>
      </c>
      <c r="L14" s="146">
        <f>SUM(L5:L13)</f>
        <v>115050</v>
      </c>
      <c r="M14" s="85">
        <f t="shared" si="0"/>
        <v>118242</v>
      </c>
    </row>
    <row r="15" spans="1:17" ht="13.15" x14ac:dyDescent="0.4">
      <c r="A15" s="9"/>
      <c r="B15" s="9"/>
      <c r="C15" s="2"/>
      <c r="D15" s="27"/>
      <c r="E15" s="147"/>
      <c r="F15" s="27"/>
      <c r="G15" s="148"/>
      <c r="H15" s="50"/>
      <c r="I15" s="90"/>
      <c r="J15" s="90"/>
      <c r="K15" s="90"/>
      <c r="L15" s="90"/>
      <c r="M15" s="87"/>
    </row>
    <row r="16" spans="1:17" ht="13.15" x14ac:dyDescent="0.4">
      <c r="A16" s="9" t="s">
        <v>18</v>
      </c>
      <c r="B16" s="3"/>
      <c r="C16" s="135"/>
      <c r="D16" s="3"/>
      <c r="E16" s="230"/>
      <c r="F16" s="3"/>
      <c r="G16" s="231"/>
      <c r="H16" s="27"/>
      <c r="I16" s="90"/>
      <c r="J16" s="90"/>
      <c r="K16" s="90"/>
      <c r="L16" s="90"/>
      <c r="M16" s="87"/>
    </row>
    <row r="17" spans="1:16" x14ac:dyDescent="0.35">
      <c r="A17" s="18">
        <v>5146</v>
      </c>
      <c r="B17" s="3" t="s">
        <v>306</v>
      </c>
      <c r="C17" s="135"/>
      <c r="D17" s="3"/>
      <c r="E17" s="230"/>
      <c r="F17" s="3"/>
      <c r="G17" s="231"/>
      <c r="H17" s="19">
        <v>1237.1500000000001</v>
      </c>
      <c r="I17" s="90"/>
      <c r="J17" s="90"/>
      <c r="K17" s="90"/>
      <c r="L17" s="90">
        <v>3000</v>
      </c>
      <c r="M17" s="87">
        <v>3000</v>
      </c>
      <c r="O17" s="131" t="s">
        <v>307</v>
      </c>
    </row>
    <row r="18" spans="1:16" x14ac:dyDescent="0.35">
      <c r="A18" s="18" t="s">
        <v>308</v>
      </c>
      <c r="B18" s="18" t="s">
        <v>309</v>
      </c>
      <c r="C18" s="135"/>
      <c r="D18" s="115">
        <v>0</v>
      </c>
      <c r="E18" s="136">
        <v>2000</v>
      </c>
      <c r="F18" s="3"/>
      <c r="G18" s="231"/>
      <c r="H18" s="19">
        <v>1104.69</v>
      </c>
      <c r="I18" s="136">
        <v>3000</v>
      </c>
      <c r="J18" s="136"/>
      <c r="K18" s="136">
        <v>3000</v>
      </c>
      <c r="L18" s="136">
        <v>0</v>
      </c>
      <c r="M18" s="115">
        <v>0</v>
      </c>
    </row>
    <row r="19" spans="1:16" x14ac:dyDescent="0.35">
      <c r="A19" s="18" t="s">
        <v>19</v>
      </c>
      <c r="B19" s="18" t="s">
        <v>20</v>
      </c>
      <c r="C19" s="138">
        <v>500</v>
      </c>
      <c r="D19" s="19">
        <v>485.73</v>
      </c>
      <c r="E19" s="129">
        <v>550</v>
      </c>
      <c r="F19" s="19">
        <v>1234.4000000000001</v>
      </c>
      <c r="G19" s="149">
        <v>600</v>
      </c>
      <c r="H19" s="19">
        <v>696.69</v>
      </c>
      <c r="I19" s="90">
        <v>900</v>
      </c>
      <c r="J19" s="90">
        <v>448.95</v>
      </c>
      <c r="K19" s="90">
        <v>750</v>
      </c>
      <c r="L19" s="90">
        <v>750</v>
      </c>
      <c r="M19" s="87">
        <f>L19*1.03</f>
        <v>772.5</v>
      </c>
      <c r="O19" s="131" t="s">
        <v>310</v>
      </c>
    </row>
    <row r="20" spans="1:16" x14ac:dyDescent="0.35">
      <c r="A20" s="18" t="s">
        <v>22</v>
      </c>
      <c r="B20" s="18" t="s">
        <v>23</v>
      </c>
      <c r="C20" s="135"/>
      <c r="D20" s="19">
        <v>460.46</v>
      </c>
      <c r="E20" s="129">
        <v>550</v>
      </c>
      <c r="F20" s="19">
        <v>10.43</v>
      </c>
      <c r="G20" s="149">
        <v>550</v>
      </c>
      <c r="H20" s="3">
        <v>0</v>
      </c>
      <c r="I20" s="90">
        <v>100</v>
      </c>
      <c r="J20" s="90"/>
      <c r="K20" s="90">
        <v>50</v>
      </c>
      <c r="L20" s="90">
        <v>50</v>
      </c>
      <c r="M20" s="87">
        <v>50</v>
      </c>
    </row>
    <row r="21" spans="1:16" x14ac:dyDescent="0.35">
      <c r="A21" s="18" t="s">
        <v>311</v>
      </c>
      <c r="B21" s="18" t="s">
        <v>312</v>
      </c>
      <c r="C21" s="138">
        <v>100</v>
      </c>
      <c r="D21" s="19">
        <v>0</v>
      </c>
      <c r="E21" s="129">
        <v>100</v>
      </c>
      <c r="F21" s="19">
        <v>0</v>
      </c>
      <c r="G21" s="149">
        <v>100</v>
      </c>
      <c r="H21" s="19">
        <v>0</v>
      </c>
      <c r="I21" s="90">
        <v>0</v>
      </c>
      <c r="J21" s="90"/>
      <c r="K21" s="90"/>
      <c r="L21" s="90"/>
      <c r="M21" s="87"/>
    </row>
    <row r="22" spans="1:16" x14ac:dyDescent="0.35">
      <c r="A22" s="18">
        <v>5240</v>
      </c>
      <c r="B22" s="18" t="s">
        <v>70</v>
      </c>
      <c r="C22" s="135"/>
      <c r="D22" s="19"/>
      <c r="E22" s="150"/>
      <c r="F22" s="19"/>
      <c r="G22" s="149"/>
      <c r="H22" s="19">
        <v>49194.99</v>
      </c>
      <c r="I22" s="150">
        <f>49194.95+6964.95</f>
        <v>56159.899999999994</v>
      </c>
      <c r="J22" s="19">
        <v>33780.559999999998</v>
      </c>
      <c r="K22" s="87">
        <f>'[2]Management Fees'!J12</f>
        <v>50670.803255504645</v>
      </c>
      <c r="L22" s="90">
        <f>K22*1.03</f>
        <v>52190.927353169784</v>
      </c>
      <c r="M22" s="87">
        <f>L22*1.03</f>
        <v>53756.655173764877</v>
      </c>
      <c r="N22" s="151"/>
      <c r="O22" s="131" t="s">
        <v>313</v>
      </c>
    </row>
    <row r="23" spans="1:16" x14ac:dyDescent="0.35">
      <c r="A23" s="18">
        <v>5350</v>
      </c>
      <c r="B23" s="18" t="s">
        <v>77</v>
      </c>
      <c r="C23" s="152"/>
      <c r="D23" s="19"/>
      <c r="E23" s="150"/>
      <c r="F23" s="19"/>
      <c r="G23" s="149"/>
      <c r="H23" s="19"/>
      <c r="I23" s="150"/>
      <c r="J23" s="19">
        <v>300</v>
      </c>
      <c r="K23" s="153"/>
      <c r="L23" s="90"/>
      <c r="M23" s="87"/>
      <c r="N23" s="151" t="s">
        <v>314</v>
      </c>
    </row>
    <row r="24" spans="1:16" x14ac:dyDescent="0.35">
      <c r="A24" s="18" t="s">
        <v>315</v>
      </c>
      <c r="B24" s="18" t="s">
        <v>293</v>
      </c>
      <c r="C24" s="138">
        <v>1000</v>
      </c>
      <c r="D24" s="19">
        <v>466.29</v>
      </c>
      <c r="E24" s="129">
        <v>1500</v>
      </c>
      <c r="F24" s="19">
        <v>2492.34</v>
      </c>
      <c r="G24" s="149">
        <v>2000</v>
      </c>
      <c r="H24" s="19">
        <v>1412.36</v>
      </c>
      <c r="I24" s="90">
        <v>2200</v>
      </c>
      <c r="J24" s="90"/>
      <c r="K24" s="153">
        <v>2000</v>
      </c>
      <c r="L24" s="90"/>
      <c r="M24" s="87"/>
    </row>
    <row r="25" spans="1:16" ht="25.5" x14ac:dyDescent="0.35">
      <c r="A25" s="18" t="s">
        <v>316</v>
      </c>
      <c r="B25" s="18" t="s">
        <v>317</v>
      </c>
      <c r="C25" s="154">
        <v>6000</v>
      </c>
      <c r="D25" s="19">
        <v>1676.08</v>
      </c>
      <c r="E25" s="129">
        <v>6000</v>
      </c>
      <c r="F25" s="19">
        <v>4934.5</v>
      </c>
      <c r="G25" s="149">
        <v>6000</v>
      </c>
      <c r="H25" s="19">
        <v>3598</v>
      </c>
      <c r="I25" s="90">
        <v>4500</v>
      </c>
      <c r="J25" s="90">
        <v>780</v>
      </c>
      <c r="K25" s="90">
        <v>9000</v>
      </c>
      <c r="L25" s="90">
        <v>9000</v>
      </c>
      <c r="M25" s="87">
        <f>L25*1.03</f>
        <v>9270</v>
      </c>
      <c r="N25" s="34" t="s">
        <v>318</v>
      </c>
      <c r="O25" s="155" t="s">
        <v>318</v>
      </c>
      <c r="P25" s="58" t="s">
        <v>633</v>
      </c>
    </row>
    <row r="26" spans="1:16" ht="63.75" x14ac:dyDescent="0.35">
      <c r="A26" s="10" t="s">
        <v>194</v>
      </c>
      <c r="B26" s="10" t="s">
        <v>195</v>
      </c>
      <c r="C26" s="140">
        <v>27500</v>
      </c>
      <c r="D26" s="156">
        <v>21420.01</v>
      </c>
      <c r="E26" s="157">
        <v>30000</v>
      </c>
      <c r="F26" s="19">
        <v>40848.1</v>
      </c>
      <c r="G26" s="158">
        <v>40000</v>
      </c>
      <c r="H26" s="19">
        <v>60208.58</v>
      </c>
      <c r="I26" s="159">
        <v>33500</v>
      </c>
      <c r="J26" s="159">
        <v>20761.7</v>
      </c>
      <c r="K26" s="90">
        <v>30000</v>
      </c>
      <c r="L26" s="90"/>
      <c r="M26" s="87"/>
      <c r="N26" s="34" t="s">
        <v>319</v>
      </c>
      <c r="O26" s="155" t="s">
        <v>320</v>
      </c>
    </row>
    <row r="27" spans="1:16" ht="38.25" x14ac:dyDescent="0.35">
      <c r="A27" s="18">
        <v>5481</v>
      </c>
      <c r="B27" s="18" t="s">
        <v>83</v>
      </c>
      <c r="C27" s="135"/>
      <c r="D27" s="115">
        <v>41535.06</v>
      </c>
      <c r="E27" s="136">
        <v>43000</v>
      </c>
      <c r="F27" s="19"/>
      <c r="G27" s="149">
        <v>45000</v>
      </c>
      <c r="H27" s="19">
        <v>40044.199999999997</v>
      </c>
      <c r="I27" s="136">
        <v>45000</v>
      </c>
      <c r="J27" s="136">
        <v>24372.15</v>
      </c>
      <c r="K27" s="136">
        <v>49000</v>
      </c>
      <c r="L27" s="136">
        <f>(K27*1.03)</f>
        <v>50470</v>
      </c>
      <c r="M27" s="115">
        <f>L27*1.03</f>
        <v>51984.1</v>
      </c>
      <c r="N27" s="34" t="s">
        <v>321</v>
      </c>
      <c r="O27" s="155" t="s">
        <v>322</v>
      </c>
    </row>
    <row r="28" spans="1:16" ht="153" x14ac:dyDescent="0.35">
      <c r="A28" s="160">
        <v>9005</v>
      </c>
      <c r="B28" s="99" t="s">
        <v>323</v>
      </c>
      <c r="C28" s="161"/>
      <c r="D28" s="162"/>
      <c r="E28" s="163"/>
      <c r="F28" s="19"/>
      <c r="G28" s="164"/>
      <c r="H28" s="19"/>
      <c r="I28" s="163"/>
      <c r="J28" s="163"/>
      <c r="K28" s="136"/>
      <c r="L28" s="136">
        <v>88629</v>
      </c>
      <c r="M28" s="115"/>
      <c r="N28" s="130" t="s">
        <v>324</v>
      </c>
      <c r="O28" s="155"/>
    </row>
    <row r="29" spans="1:16" ht="38.25" x14ac:dyDescent="0.35">
      <c r="A29" s="99">
        <v>9006</v>
      </c>
      <c r="B29" s="99" t="s">
        <v>325</v>
      </c>
      <c r="C29" s="161"/>
      <c r="D29" s="162"/>
      <c r="E29" s="163"/>
      <c r="F29" s="19"/>
      <c r="G29" s="164"/>
      <c r="H29" s="19"/>
      <c r="I29" s="163"/>
      <c r="J29" s="163"/>
      <c r="K29" s="136"/>
      <c r="L29" s="136">
        <v>66700</v>
      </c>
      <c r="M29" s="115"/>
      <c r="N29" s="130" t="s">
        <v>326</v>
      </c>
      <c r="O29" s="155"/>
    </row>
    <row r="30" spans="1:16" x14ac:dyDescent="0.35">
      <c r="A30" s="160">
        <v>9007</v>
      </c>
      <c r="B30" s="99" t="s">
        <v>562</v>
      </c>
      <c r="C30" s="161"/>
      <c r="D30" s="162"/>
      <c r="E30" s="163"/>
      <c r="F30" s="19"/>
      <c r="G30" s="164"/>
      <c r="H30" s="19"/>
      <c r="I30" s="163"/>
      <c r="J30" s="163"/>
      <c r="K30" s="136"/>
      <c r="L30" s="136">
        <v>55575</v>
      </c>
      <c r="M30" s="115"/>
      <c r="N30" s="130"/>
      <c r="O30" s="155"/>
    </row>
    <row r="31" spans="1:16" ht="63.75" x14ac:dyDescent="0.35">
      <c r="A31" s="160">
        <v>9008</v>
      </c>
      <c r="B31" s="99" t="s">
        <v>327</v>
      </c>
      <c r="C31" s="161"/>
      <c r="D31" s="162"/>
      <c r="E31" s="163"/>
      <c r="F31" s="19"/>
      <c r="G31" s="164"/>
      <c r="H31" s="19"/>
      <c r="I31" s="163"/>
      <c r="J31" s="163"/>
      <c r="K31" s="136"/>
      <c r="L31" s="136">
        <v>108500</v>
      </c>
      <c r="M31" s="115"/>
      <c r="N31" s="130" t="s">
        <v>328</v>
      </c>
      <c r="O31" s="155"/>
    </row>
    <row r="32" spans="1:16" ht="51.4" x14ac:dyDescent="0.35">
      <c r="A32" s="160">
        <v>9009</v>
      </c>
      <c r="B32" s="99" t="s">
        <v>329</v>
      </c>
      <c r="C32" s="161"/>
      <c r="D32" s="162"/>
      <c r="E32" s="163"/>
      <c r="F32" s="19"/>
      <c r="G32" s="164"/>
      <c r="H32" s="19"/>
      <c r="I32" s="163"/>
      <c r="J32" s="163"/>
      <c r="K32" s="136"/>
      <c r="L32" s="136">
        <v>36000</v>
      </c>
      <c r="M32" s="115"/>
      <c r="N32" s="130" t="s">
        <v>538</v>
      </c>
      <c r="O32" s="155"/>
    </row>
    <row r="33" spans="1:15" ht="25.5" x14ac:dyDescent="0.35">
      <c r="A33" s="160">
        <v>5485</v>
      </c>
      <c r="B33" s="160" t="s">
        <v>330</v>
      </c>
      <c r="C33" s="165"/>
      <c r="D33" s="166">
        <v>0</v>
      </c>
      <c r="E33" s="167">
        <v>0</v>
      </c>
      <c r="F33" s="19"/>
      <c r="G33" s="168">
        <v>0</v>
      </c>
      <c r="H33" s="19">
        <v>8595.2999999999993</v>
      </c>
      <c r="I33" s="167">
        <v>60000</v>
      </c>
      <c r="J33" s="167">
        <v>18687.27</v>
      </c>
      <c r="K33" s="169">
        <v>60000</v>
      </c>
      <c r="L33" s="169"/>
      <c r="M33" s="170"/>
      <c r="N33" s="171" t="s">
        <v>331</v>
      </c>
      <c r="O33" s="131" t="s">
        <v>332</v>
      </c>
    </row>
    <row r="34" spans="1:15" ht="13.15" x14ac:dyDescent="0.4">
      <c r="A34" s="9"/>
      <c r="B34" s="9" t="s">
        <v>64</v>
      </c>
      <c r="C34" s="172">
        <f>SUM(C17:C33)</f>
        <v>35100</v>
      </c>
      <c r="D34" s="50">
        <v>24508.57</v>
      </c>
      <c r="E34" s="173">
        <f>SUM(E19:E33)</f>
        <v>81700</v>
      </c>
      <c r="F34" s="50">
        <v>49519.77</v>
      </c>
      <c r="G34" s="174">
        <v>49250</v>
      </c>
      <c r="H34" s="50">
        <f>SUM(H17:H33)</f>
        <v>166091.95999999996</v>
      </c>
      <c r="I34" s="146">
        <f>SUM(I18:I33)</f>
        <v>205359.9</v>
      </c>
      <c r="J34" s="146">
        <f>SUM(J17:J33)</f>
        <v>99130.62999999999</v>
      </c>
      <c r="K34" s="146">
        <f>SUM(K18:K33)</f>
        <v>204470.80325550464</v>
      </c>
      <c r="L34" s="146">
        <f>SUM(L17:L33)</f>
        <v>470864.92735316977</v>
      </c>
      <c r="M34" s="146">
        <f>SUM(M18:M33)</f>
        <v>115833.25517376488</v>
      </c>
    </row>
    <row r="35" spans="1:15" ht="13.15" x14ac:dyDescent="0.4">
      <c r="A35" s="9"/>
      <c r="B35" s="9"/>
      <c r="C35" s="2"/>
      <c r="D35" s="27"/>
      <c r="E35" s="173"/>
      <c r="F35" s="52"/>
      <c r="G35" s="148"/>
      <c r="H35" s="27"/>
      <c r="I35" s="90"/>
      <c r="J35" s="90"/>
      <c r="K35" s="90"/>
      <c r="L35" s="90"/>
      <c r="M35" s="87"/>
    </row>
    <row r="36" spans="1:15" ht="13.15" x14ac:dyDescent="0.4">
      <c r="A36" s="9"/>
      <c r="B36" s="9" t="s">
        <v>65</v>
      </c>
      <c r="C36" s="175">
        <f>C14-C34</f>
        <v>1500</v>
      </c>
      <c r="D36" s="50">
        <v>28373.23</v>
      </c>
      <c r="E36" s="176">
        <f>E14-E34</f>
        <v>-44795</v>
      </c>
      <c r="F36" s="50">
        <v>15602.11</v>
      </c>
      <c r="G36" s="174">
        <v>27630</v>
      </c>
      <c r="H36" s="177">
        <f t="shared" ref="H36:M36" si="1">H14-H34</f>
        <v>-69338.379999999961</v>
      </c>
      <c r="I36" s="177">
        <f t="shared" si="1"/>
        <v>-118134.9</v>
      </c>
      <c r="J36" s="177">
        <f t="shared" si="1"/>
        <v>10028.000000000015</v>
      </c>
      <c r="K36" s="177">
        <f t="shared" si="1"/>
        <v>-115120.80325550464</v>
      </c>
      <c r="L36" s="177">
        <f t="shared" si="1"/>
        <v>-355814.92735316977</v>
      </c>
      <c r="M36" s="177">
        <f t="shared" si="1"/>
        <v>2408.7448262351245</v>
      </c>
    </row>
    <row r="37" spans="1:15" ht="13.15" x14ac:dyDescent="0.4">
      <c r="A37" s="114"/>
      <c r="B37" s="114"/>
      <c r="C37" s="114"/>
      <c r="D37" s="114"/>
      <c r="E37" s="114"/>
      <c r="F37" s="50"/>
      <c r="G37" s="114"/>
      <c r="H37" s="178"/>
      <c r="I37" s="179"/>
    </row>
    <row r="38" spans="1:15" ht="13.15" x14ac:dyDescent="0.4">
      <c r="F38" s="458"/>
      <c r="H38" s="23"/>
    </row>
    <row r="39" spans="1:15" x14ac:dyDescent="0.35">
      <c r="F39" s="459"/>
    </row>
    <row r="40" spans="1:15" x14ac:dyDescent="0.35">
      <c r="F40" s="459"/>
    </row>
    <row r="41" spans="1:15" x14ac:dyDescent="0.35">
      <c r="F41" s="459"/>
    </row>
  </sheetData>
  <mergeCells count="3">
    <mergeCell ref="A1:I1"/>
    <mergeCell ref="A4:G4"/>
    <mergeCell ref="F38:F41"/>
  </mergeCells>
  <conditionalFormatting sqref="C6:C14">
    <cfRule type="cellIs" dxfId="4" priority="4" stopIfTrue="1" operator="lessThan">
      <formula>0</formula>
    </cfRule>
  </conditionalFormatting>
  <conditionalFormatting sqref="C19">
    <cfRule type="cellIs" dxfId="3" priority="3" stopIfTrue="1" operator="lessThan">
      <formula>0</formula>
    </cfRule>
  </conditionalFormatting>
  <conditionalFormatting sqref="C21">
    <cfRule type="cellIs" dxfId="2" priority="2" stopIfTrue="1" operator="lessThan">
      <formula>0</formula>
    </cfRule>
  </conditionalFormatting>
  <conditionalFormatting sqref="C24:C26">
    <cfRule type="cellIs" dxfId="1" priority="1" stopIfTrue="1" operator="lessThan">
      <formula>0</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76704-537F-44BF-B9F8-8AEC63180E1D}">
  <dimension ref="A1:R77"/>
  <sheetViews>
    <sheetView topLeftCell="A36" zoomScale="90" zoomScaleNormal="90" workbookViewId="0">
      <selection activeCell="K38" sqref="K38"/>
    </sheetView>
  </sheetViews>
  <sheetFormatPr defaultColWidth="8.796875" defaultRowHeight="12.75" x14ac:dyDescent="0.35"/>
  <cols>
    <col min="1" max="1" width="13.46484375" style="1" customWidth="1"/>
    <col min="2" max="2" width="26.46484375" style="1" customWidth="1"/>
    <col min="3" max="5" width="12.59765625" style="1" hidden="1" customWidth="1"/>
    <col min="6" max="8" width="14.46484375" style="1" hidden="1" customWidth="1"/>
    <col min="9" max="10" width="11" style="1" customWidth="1"/>
    <col min="11" max="11" width="11.46484375" style="1" bestFit="1" customWidth="1"/>
    <col min="12" max="12" width="12" style="1" bestFit="1" customWidth="1"/>
    <col min="13" max="13" width="10.46484375" style="1" customWidth="1"/>
    <col min="14" max="14" width="30.46484375" style="352" customWidth="1"/>
    <col min="15" max="15" width="41" style="56" customWidth="1"/>
    <col min="16" max="16" width="20.59765625" style="229" customWidth="1"/>
    <col min="17" max="16384" width="8.796875" style="1"/>
  </cols>
  <sheetData>
    <row r="1" spans="1:18" s="106" customFormat="1" ht="13.15" x14ac:dyDescent="0.4">
      <c r="A1" s="445" t="s">
        <v>281</v>
      </c>
      <c r="B1" s="445"/>
      <c r="C1" s="445"/>
      <c r="D1" s="445"/>
      <c r="E1" s="445"/>
      <c r="F1" s="445"/>
      <c r="G1" s="445"/>
      <c r="H1" s="445"/>
      <c r="I1" s="445"/>
      <c r="J1" s="54"/>
      <c r="K1" s="54"/>
      <c r="L1" s="54"/>
      <c r="M1" s="54"/>
      <c r="N1" s="332" t="s">
        <v>3</v>
      </c>
      <c r="O1" s="333" t="s">
        <v>4</v>
      </c>
      <c r="P1" s="334" t="s">
        <v>197</v>
      </c>
      <c r="R1" s="106" t="s">
        <v>634</v>
      </c>
    </row>
    <row r="2" spans="1:18" s="106" customFormat="1" ht="13.15" x14ac:dyDescent="0.4">
      <c r="A2" s="112" t="s">
        <v>1</v>
      </c>
      <c r="B2" s="335"/>
      <c r="C2" s="112">
        <v>2021</v>
      </c>
      <c r="D2" s="112">
        <v>2022</v>
      </c>
      <c r="E2" s="112">
        <v>2022</v>
      </c>
      <c r="F2" s="112">
        <v>2023</v>
      </c>
      <c r="G2" s="112">
        <v>2023</v>
      </c>
      <c r="H2" s="112">
        <v>2024</v>
      </c>
      <c r="I2" s="112">
        <v>2024</v>
      </c>
      <c r="J2" s="59">
        <v>45870</v>
      </c>
      <c r="K2" s="57">
        <v>2025</v>
      </c>
      <c r="L2" s="57">
        <v>2026</v>
      </c>
      <c r="M2" s="336">
        <v>2027</v>
      </c>
      <c r="N2" s="33"/>
      <c r="O2" s="337"/>
      <c r="P2" s="334"/>
    </row>
    <row r="3" spans="1:18" s="106" customFormat="1" ht="13.15" x14ac:dyDescent="0.4">
      <c r="A3" s="112" t="s">
        <v>5</v>
      </c>
      <c r="B3" s="112" t="s">
        <v>6</v>
      </c>
      <c r="C3" s="112" t="s">
        <v>7</v>
      </c>
      <c r="D3" s="112" t="s">
        <v>280</v>
      </c>
      <c r="E3" s="112" t="s">
        <v>9</v>
      </c>
      <c r="F3" s="112" t="s">
        <v>10</v>
      </c>
      <c r="G3" s="112" t="s">
        <v>9</v>
      </c>
      <c r="H3" s="112" t="s">
        <v>8</v>
      </c>
      <c r="I3" s="112" t="s">
        <v>7</v>
      </c>
      <c r="J3" s="112" t="s">
        <v>11</v>
      </c>
      <c r="K3" s="2" t="s">
        <v>7</v>
      </c>
      <c r="L3" s="336" t="s">
        <v>7</v>
      </c>
      <c r="M3" s="336" t="s">
        <v>7</v>
      </c>
      <c r="N3" s="33"/>
      <c r="O3" s="333"/>
      <c r="P3" s="334"/>
    </row>
    <row r="4" spans="1:18" s="106" customFormat="1" ht="13.15" x14ac:dyDescent="0.4">
      <c r="A4" s="451" t="s">
        <v>12</v>
      </c>
      <c r="B4" s="460"/>
      <c r="C4" s="460"/>
      <c r="D4" s="460"/>
      <c r="E4" s="460"/>
      <c r="F4" s="460"/>
      <c r="G4" s="460"/>
      <c r="H4" s="335"/>
      <c r="I4" s="335"/>
      <c r="L4" s="338"/>
      <c r="M4" s="338"/>
      <c r="N4" s="33"/>
      <c r="O4" s="333"/>
      <c r="P4" s="334"/>
    </row>
    <row r="5" spans="1:18" s="106" customFormat="1" ht="52.5" x14ac:dyDescent="0.4">
      <c r="A5" s="9" t="s">
        <v>279</v>
      </c>
      <c r="B5" s="9" t="s">
        <v>278</v>
      </c>
      <c r="C5" s="14">
        <v>65645</v>
      </c>
      <c r="D5" s="14">
        <v>77850</v>
      </c>
      <c r="E5" s="14">
        <v>88650</v>
      </c>
      <c r="F5" s="14">
        <v>69925</v>
      </c>
      <c r="G5" s="14">
        <v>78975</v>
      </c>
      <c r="H5" s="13">
        <v>34248</v>
      </c>
      <c r="I5" s="90">
        <v>45000</v>
      </c>
      <c r="J5" s="90">
        <v>19853</v>
      </c>
      <c r="K5" s="90">
        <v>34800</v>
      </c>
      <c r="L5" s="90">
        <f>(768*40)+(192*55)</f>
        <v>41280</v>
      </c>
      <c r="M5" s="90">
        <f>(768*45)+(192*60)</f>
        <v>46080</v>
      </c>
      <c r="N5" s="339" t="s">
        <v>277</v>
      </c>
      <c r="O5" s="340" t="s">
        <v>276</v>
      </c>
      <c r="P5" s="334" t="s">
        <v>275</v>
      </c>
    </row>
    <row r="6" spans="1:18" s="106" customFormat="1" ht="13.15" x14ac:dyDescent="0.4">
      <c r="A6" s="9" t="s">
        <v>274</v>
      </c>
      <c r="B6" s="9" t="s">
        <v>273</v>
      </c>
      <c r="C6" s="19">
        <v>180</v>
      </c>
      <c r="D6" s="19">
        <v>250</v>
      </c>
      <c r="E6" s="19">
        <v>0</v>
      </c>
      <c r="F6" s="19">
        <v>0</v>
      </c>
      <c r="G6" s="19">
        <v>250</v>
      </c>
      <c r="H6" s="43">
        <v>250</v>
      </c>
      <c r="I6" s="90">
        <v>0</v>
      </c>
      <c r="J6" s="90"/>
      <c r="K6" s="90">
        <v>0</v>
      </c>
      <c r="L6" s="90">
        <v>0</v>
      </c>
      <c r="M6" s="90">
        <v>0</v>
      </c>
      <c r="N6" s="33"/>
      <c r="O6" s="333"/>
      <c r="P6" s="334"/>
    </row>
    <row r="7" spans="1:18" s="106" customFormat="1" ht="13.15" x14ac:dyDescent="0.4">
      <c r="A7" s="9" t="s">
        <v>272</v>
      </c>
      <c r="B7" s="9" t="s">
        <v>271</v>
      </c>
      <c r="C7" s="19">
        <v>12362.9</v>
      </c>
      <c r="D7" s="19">
        <v>18891.7</v>
      </c>
      <c r="E7" s="19">
        <v>22500</v>
      </c>
      <c r="F7" s="19">
        <v>15918.4</v>
      </c>
      <c r="G7" s="19">
        <v>15211.6</v>
      </c>
      <c r="H7" s="43">
        <v>17242.18</v>
      </c>
      <c r="I7" s="90">
        <v>16500</v>
      </c>
      <c r="J7" s="90">
        <v>10015</v>
      </c>
      <c r="K7" s="90">
        <v>16500</v>
      </c>
      <c r="L7" s="90">
        <v>15025</v>
      </c>
      <c r="M7" s="90">
        <f>L7*1.03</f>
        <v>15475.75</v>
      </c>
      <c r="N7" s="33">
        <f>(10015/8)*12</f>
        <v>15022.5</v>
      </c>
      <c r="O7" s="333"/>
      <c r="P7" s="334" t="s">
        <v>270</v>
      </c>
    </row>
    <row r="8" spans="1:18" s="106" customFormat="1" ht="13.15" x14ac:dyDescent="0.4">
      <c r="A8" s="9" t="s">
        <v>269</v>
      </c>
      <c r="B8" s="9" t="s">
        <v>268</v>
      </c>
      <c r="C8" s="19">
        <v>310</v>
      </c>
      <c r="D8" s="19">
        <v>105</v>
      </c>
      <c r="E8" s="19">
        <v>500</v>
      </c>
      <c r="F8" s="19">
        <v>0</v>
      </c>
      <c r="G8" s="19">
        <v>120</v>
      </c>
      <c r="H8" s="330">
        <v>1150</v>
      </c>
      <c r="I8" s="90">
        <v>0</v>
      </c>
      <c r="J8" s="90">
        <v>3220</v>
      </c>
      <c r="K8" s="90"/>
      <c r="L8" s="90"/>
      <c r="M8" s="90"/>
      <c r="N8" s="33"/>
      <c r="O8" s="333"/>
      <c r="P8" s="101"/>
    </row>
    <row r="9" spans="1:18" s="106" customFormat="1" ht="13.15" x14ac:dyDescent="0.4">
      <c r="A9" s="9"/>
      <c r="B9" s="9" t="s">
        <v>17</v>
      </c>
      <c r="C9" s="50">
        <v>78497.899999999994</v>
      </c>
      <c r="D9" s="50">
        <v>97096.7</v>
      </c>
      <c r="E9" s="50">
        <f>SUM(E5:E8)</f>
        <v>111650</v>
      </c>
      <c r="F9" s="50">
        <v>85843.4</v>
      </c>
      <c r="G9" s="50">
        <v>94556.6</v>
      </c>
      <c r="H9" s="23">
        <f t="shared" ref="H9:M9" si="0">SUM(H5:H8)</f>
        <v>52890.18</v>
      </c>
      <c r="I9" s="146">
        <f t="shared" si="0"/>
        <v>61500</v>
      </c>
      <c r="J9" s="146">
        <f t="shared" si="0"/>
        <v>33088</v>
      </c>
      <c r="K9" s="146">
        <f>SUM(K5:K8)</f>
        <v>51300</v>
      </c>
      <c r="L9" s="146">
        <f>SUM(L5:L8)</f>
        <v>56305</v>
      </c>
      <c r="M9" s="146">
        <f t="shared" si="0"/>
        <v>61555.75</v>
      </c>
      <c r="N9" s="33"/>
      <c r="O9" s="333"/>
      <c r="P9" s="334"/>
    </row>
    <row r="10" spans="1:18" s="106" customFormat="1" ht="13.15" x14ac:dyDescent="0.4">
      <c r="A10" s="9"/>
      <c r="B10" s="9"/>
      <c r="C10" s="27"/>
      <c r="D10" s="27"/>
      <c r="E10" s="27"/>
      <c r="F10" s="27"/>
      <c r="G10" s="27"/>
      <c r="H10" s="27"/>
      <c r="I10" s="146"/>
      <c r="J10" s="146"/>
      <c r="K10" s="146"/>
      <c r="L10" s="146"/>
      <c r="M10" s="146"/>
      <c r="N10" s="33"/>
      <c r="O10" s="333"/>
      <c r="P10" s="334"/>
    </row>
    <row r="11" spans="1:18" s="106" customFormat="1" ht="13.15" x14ac:dyDescent="0.4">
      <c r="A11" s="448" t="s">
        <v>18</v>
      </c>
      <c r="B11" s="461"/>
      <c r="C11" s="461"/>
      <c r="D11" s="461"/>
      <c r="E11" s="461"/>
      <c r="F11" s="461"/>
      <c r="G11" s="461"/>
      <c r="H11" s="101"/>
      <c r="I11" s="146"/>
      <c r="J11" s="146"/>
      <c r="K11" s="146"/>
      <c r="L11" s="146"/>
      <c r="M11" s="146"/>
      <c r="N11" s="33"/>
      <c r="O11" s="333"/>
      <c r="P11" s="334"/>
    </row>
    <row r="12" spans="1:18" s="106" customFormat="1" ht="91.9" x14ac:dyDescent="0.4">
      <c r="A12" s="9" t="s">
        <v>267</v>
      </c>
      <c r="B12" s="9" t="s">
        <v>266</v>
      </c>
      <c r="C12" s="19">
        <v>17608</v>
      </c>
      <c r="D12" s="19">
        <v>150</v>
      </c>
      <c r="E12" s="129">
        <v>6000</v>
      </c>
      <c r="F12" s="19">
        <v>0</v>
      </c>
      <c r="G12" s="128">
        <v>500</v>
      </c>
      <c r="H12" s="19">
        <v>887.5</v>
      </c>
      <c r="I12" s="87">
        <v>7500</v>
      </c>
      <c r="J12" s="88">
        <v>537</v>
      </c>
      <c r="K12" s="341">
        <v>5000</v>
      </c>
      <c r="L12" s="342"/>
      <c r="M12" s="342"/>
      <c r="N12" s="334" t="s">
        <v>265</v>
      </c>
      <c r="O12" s="343"/>
      <c r="P12" s="7"/>
    </row>
    <row r="13" spans="1:18" s="106" customFormat="1" ht="13.15" x14ac:dyDescent="0.4">
      <c r="A13" s="9" t="s">
        <v>264</v>
      </c>
      <c r="B13" s="9" t="s">
        <v>263</v>
      </c>
      <c r="C13" s="19">
        <v>104.95</v>
      </c>
      <c r="D13" s="19">
        <v>1078.56</v>
      </c>
      <c r="E13" s="129">
        <v>2500</v>
      </c>
      <c r="F13" s="19">
        <v>535.07000000000005</v>
      </c>
      <c r="G13" s="128">
        <v>2500</v>
      </c>
      <c r="H13" s="19">
        <v>0</v>
      </c>
      <c r="I13" s="87">
        <v>2500</v>
      </c>
      <c r="J13" s="88"/>
      <c r="K13" s="90">
        <v>2500</v>
      </c>
      <c r="L13" s="90">
        <v>3000</v>
      </c>
      <c r="M13" s="90">
        <v>3000</v>
      </c>
      <c r="N13" s="33"/>
      <c r="O13" s="333"/>
      <c r="P13" s="334"/>
    </row>
    <row r="14" spans="1:18" s="106" customFormat="1" ht="13.15" x14ac:dyDescent="0.4">
      <c r="A14" s="9" t="s">
        <v>19</v>
      </c>
      <c r="B14" s="9" t="s">
        <v>20</v>
      </c>
      <c r="C14" s="19">
        <v>334.69</v>
      </c>
      <c r="D14" s="19">
        <v>333.64</v>
      </c>
      <c r="E14" s="129">
        <v>1500</v>
      </c>
      <c r="F14" s="19">
        <v>314.98</v>
      </c>
      <c r="G14" s="128">
        <v>500</v>
      </c>
      <c r="H14" s="19">
        <v>0</v>
      </c>
      <c r="I14" s="87">
        <v>500</v>
      </c>
      <c r="J14" s="88"/>
      <c r="K14" s="341">
        <v>250</v>
      </c>
      <c r="L14" s="341">
        <f>250*1.3</f>
        <v>325</v>
      </c>
      <c r="M14" s="341">
        <f>L14*1.3</f>
        <v>422.5</v>
      </c>
      <c r="N14" s="33"/>
      <c r="O14" s="333"/>
      <c r="P14" s="334"/>
    </row>
    <row r="15" spans="1:18" s="106" customFormat="1" ht="13.15" x14ac:dyDescent="0.4">
      <c r="A15" s="9" t="s">
        <v>116</v>
      </c>
      <c r="B15" s="9" t="s">
        <v>117</v>
      </c>
      <c r="C15" s="19">
        <v>0</v>
      </c>
      <c r="D15" s="19">
        <v>968.93</v>
      </c>
      <c r="E15" s="129">
        <v>500</v>
      </c>
      <c r="F15" s="19">
        <v>-256.69</v>
      </c>
      <c r="G15" s="128">
        <v>1500</v>
      </c>
      <c r="H15" s="19">
        <v>216.2</v>
      </c>
      <c r="I15" s="87">
        <v>500</v>
      </c>
      <c r="J15" s="88"/>
      <c r="K15" s="90">
        <v>500</v>
      </c>
      <c r="L15" s="90">
        <v>250</v>
      </c>
      <c r="M15" s="90">
        <f>L15*1.3</f>
        <v>325</v>
      </c>
      <c r="N15" s="33"/>
      <c r="O15" s="333"/>
      <c r="P15" s="334"/>
    </row>
    <row r="16" spans="1:18" s="106" customFormat="1" ht="13.15" x14ac:dyDescent="0.4">
      <c r="A16" s="9" t="s">
        <v>22</v>
      </c>
      <c r="B16" s="9" t="s">
        <v>23</v>
      </c>
      <c r="C16" s="19">
        <v>1373.7</v>
      </c>
      <c r="D16" s="19">
        <v>967.58</v>
      </c>
      <c r="E16" s="129">
        <v>1500</v>
      </c>
      <c r="F16" s="19">
        <v>2127.33</v>
      </c>
      <c r="G16" s="128">
        <v>750</v>
      </c>
      <c r="H16" s="19">
        <v>1484.92</v>
      </c>
      <c r="I16" s="87">
        <v>400</v>
      </c>
      <c r="J16" s="88">
        <v>399.13</v>
      </c>
      <c r="K16" s="90">
        <v>1500</v>
      </c>
      <c r="L16" s="90">
        <v>500</v>
      </c>
      <c r="M16" s="90">
        <v>500</v>
      </c>
      <c r="N16" s="33"/>
      <c r="O16" s="333"/>
      <c r="P16" s="334"/>
    </row>
    <row r="17" spans="1:16" s="106" customFormat="1" ht="13.15" x14ac:dyDescent="0.4">
      <c r="A17" s="9">
        <v>5240</v>
      </c>
      <c r="B17" s="9" t="s">
        <v>70</v>
      </c>
      <c r="C17" s="19"/>
      <c r="D17" s="19"/>
      <c r="E17" s="129"/>
      <c r="F17" s="19">
        <v>0</v>
      </c>
      <c r="G17" s="128"/>
      <c r="H17" s="19">
        <v>75000</v>
      </c>
      <c r="I17" s="87">
        <v>75000</v>
      </c>
      <c r="J17" s="88">
        <v>51500</v>
      </c>
      <c r="K17" s="90">
        <v>77250</v>
      </c>
      <c r="L17" s="90">
        <f>K17*1.3</f>
        <v>100425</v>
      </c>
      <c r="M17" s="90">
        <f>L17*1.3</f>
        <v>130552.5</v>
      </c>
      <c r="N17" s="33"/>
      <c r="O17" s="333"/>
      <c r="P17" s="334"/>
    </row>
    <row r="18" spans="1:16" s="106" customFormat="1" ht="13.15" x14ac:dyDescent="0.4">
      <c r="A18" s="9" t="s">
        <v>25</v>
      </c>
      <c r="B18" s="9" t="s">
        <v>26</v>
      </c>
      <c r="C18" s="19">
        <v>0</v>
      </c>
      <c r="D18" s="19">
        <v>0</v>
      </c>
      <c r="E18" s="129">
        <v>250</v>
      </c>
      <c r="F18" s="19">
        <v>4487.74</v>
      </c>
      <c r="G18" s="128">
        <v>100</v>
      </c>
      <c r="H18" s="19">
        <v>0</v>
      </c>
      <c r="I18" s="87">
        <v>50</v>
      </c>
      <c r="J18" s="88"/>
      <c r="K18" s="90">
        <v>50</v>
      </c>
      <c r="L18" s="90">
        <v>50</v>
      </c>
      <c r="M18" s="90">
        <v>50</v>
      </c>
      <c r="N18" s="33"/>
      <c r="O18" s="333"/>
      <c r="P18" s="334"/>
    </row>
    <row r="19" spans="1:16" s="106" customFormat="1" ht="26.25" x14ac:dyDescent="0.4">
      <c r="A19" s="9" t="s">
        <v>262</v>
      </c>
      <c r="B19" s="9" t="s">
        <v>261</v>
      </c>
      <c r="C19" s="19">
        <v>3443.86</v>
      </c>
      <c r="D19" s="19">
        <v>19622.27</v>
      </c>
      <c r="E19" s="129">
        <v>2000</v>
      </c>
      <c r="F19" s="19">
        <v>1384.5</v>
      </c>
      <c r="G19" s="128">
        <v>2000</v>
      </c>
      <c r="H19" s="19">
        <v>3754.39</v>
      </c>
      <c r="I19" s="87">
        <v>500</v>
      </c>
      <c r="J19" s="88">
        <v>1817.76</v>
      </c>
      <c r="K19" s="341">
        <v>6000</v>
      </c>
      <c r="L19" s="341">
        <v>2200</v>
      </c>
      <c r="M19" s="341">
        <v>2300</v>
      </c>
      <c r="N19" s="33" t="s">
        <v>260</v>
      </c>
      <c r="O19" s="337" t="s">
        <v>259</v>
      </c>
      <c r="P19" s="334"/>
    </row>
    <row r="20" spans="1:16" s="106" customFormat="1" ht="25.9" x14ac:dyDescent="0.4">
      <c r="A20" s="9" t="s">
        <v>258</v>
      </c>
      <c r="B20" s="9" t="s">
        <v>257</v>
      </c>
      <c r="C20" s="19">
        <v>13321</v>
      </c>
      <c r="D20" s="19">
        <v>13567.5</v>
      </c>
      <c r="E20" s="129">
        <v>15000</v>
      </c>
      <c r="F20" s="19">
        <v>13564.35</v>
      </c>
      <c r="G20" s="128">
        <v>15000</v>
      </c>
      <c r="H20" s="19">
        <v>16629.5</v>
      </c>
      <c r="I20" s="87">
        <v>15000</v>
      </c>
      <c r="J20" s="88">
        <v>13108.5</v>
      </c>
      <c r="K20" s="90">
        <v>20000</v>
      </c>
      <c r="L20" s="90">
        <v>20000</v>
      </c>
      <c r="M20" s="90">
        <f>L20*1.3</f>
        <v>26000</v>
      </c>
      <c r="N20" s="339" t="s">
        <v>256</v>
      </c>
      <c r="O20" s="333"/>
      <c r="P20" s="334"/>
    </row>
    <row r="21" spans="1:16" s="106" customFormat="1" ht="13.15" x14ac:dyDescent="0.4">
      <c r="A21" s="183" t="s">
        <v>255</v>
      </c>
      <c r="B21" s="344" t="s">
        <v>254</v>
      </c>
      <c r="C21" s="43"/>
      <c r="D21" s="43"/>
      <c r="E21" s="43"/>
      <c r="F21" s="43"/>
      <c r="G21" s="43"/>
      <c r="H21" s="19">
        <v>405</v>
      </c>
      <c r="I21" s="87"/>
      <c r="J21" s="88"/>
      <c r="K21" s="90"/>
      <c r="L21" s="90"/>
      <c r="M21" s="90"/>
      <c r="N21" s="339"/>
      <c r="O21" s="333"/>
      <c r="P21" s="334"/>
    </row>
    <row r="22" spans="1:16" s="106" customFormat="1" ht="13.15" x14ac:dyDescent="0.4">
      <c r="A22" s="9" t="s">
        <v>253</v>
      </c>
      <c r="B22" s="9" t="s">
        <v>252</v>
      </c>
      <c r="C22" s="19">
        <v>300</v>
      </c>
      <c r="D22" s="19">
        <v>116.5</v>
      </c>
      <c r="E22" s="129">
        <v>1000</v>
      </c>
      <c r="F22" s="19">
        <v>741.25</v>
      </c>
      <c r="G22" s="128">
        <v>500</v>
      </c>
      <c r="H22" s="19">
        <v>0</v>
      </c>
      <c r="I22" s="87">
        <v>0</v>
      </c>
      <c r="J22" s="88"/>
      <c r="K22" s="341">
        <v>0</v>
      </c>
      <c r="L22" s="341"/>
      <c r="M22" s="341"/>
      <c r="N22" s="33"/>
      <c r="O22" s="333"/>
      <c r="P22" s="334"/>
    </row>
    <row r="23" spans="1:16" s="106" customFormat="1" ht="178.9" x14ac:dyDescent="0.4">
      <c r="A23" s="9" t="s">
        <v>251</v>
      </c>
      <c r="B23" s="345" t="s">
        <v>250</v>
      </c>
      <c r="C23" s="19">
        <v>3801</v>
      </c>
      <c r="D23" s="19">
        <v>5999.5</v>
      </c>
      <c r="E23" s="129">
        <v>30000</v>
      </c>
      <c r="F23" s="19">
        <v>22648.5</v>
      </c>
      <c r="G23" s="128">
        <v>25000</v>
      </c>
      <c r="H23" s="19">
        <v>14984.25</v>
      </c>
      <c r="I23" s="87">
        <v>25000</v>
      </c>
      <c r="J23" s="88">
        <v>4828</v>
      </c>
      <c r="K23" s="341">
        <v>8000</v>
      </c>
      <c r="L23" s="342">
        <v>53200</v>
      </c>
      <c r="M23" s="342">
        <v>29600</v>
      </c>
      <c r="N23" s="7"/>
      <c r="O23" s="33" t="s">
        <v>249</v>
      </c>
      <c r="P23" s="346" t="s">
        <v>248</v>
      </c>
    </row>
    <row r="24" spans="1:16" s="106" customFormat="1" ht="13.15" x14ac:dyDescent="0.4">
      <c r="A24" s="9">
        <v>5315</v>
      </c>
      <c r="B24" s="9" t="s">
        <v>247</v>
      </c>
      <c r="C24" s="19"/>
      <c r="D24" s="19"/>
      <c r="E24" s="129"/>
      <c r="F24" s="19"/>
      <c r="G24" s="128"/>
      <c r="H24" s="19">
        <v>1793</v>
      </c>
      <c r="I24" s="87"/>
      <c r="J24" s="88">
        <v>791</v>
      </c>
      <c r="K24" s="90"/>
      <c r="L24" s="90"/>
      <c r="M24" s="90"/>
      <c r="N24" s="33"/>
      <c r="O24" s="333"/>
      <c r="P24" s="334"/>
    </row>
    <row r="25" spans="1:16" s="106" customFormat="1" ht="25.9" x14ac:dyDescent="0.4">
      <c r="A25" s="9" t="s">
        <v>76</v>
      </c>
      <c r="B25" s="9" t="s">
        <v>77</v>
      </c>
      <c r="C25" s="19">
        <v>0</v>
      </c>
      <c r="D25" s="19">
        <v>3053</v>
      </c>
      <c r="E25" s="129">
        <v>0</v>
      </c>
      <c r="F25" s="19">
        <v>0</v>
      </c>
      <c r="G25" s="128">
        <v>7500</v>
      </c>
      <c r="H25" s="19">
        <v>0</v>
      </c>
      <c r="I25" s="87">
        <v>3000</v>
      </c>
      <c r="J25" s="88"/>
      <c r="K25" s="90"/>
      <c r="L25" s="90"/>
      <c r="M25" s="90"/>
      <c r="N25" s="33" t="s">
        <v>246</v>
      </c>
      <c r="O25" s="333"/>
      <c r="P25" s="334"/>
    </row>
    <row r="26" spans="1:16" s="106" customFormat="1" ht="13.15" x14ac:dyDescent="0.4">
      <c r="A26" s="9" t="s">
        <v>147</v>
      </c>
      <c r="B26" s="9" t="s">
        <v>148</v>
      </c>
      <c r="C26" s="19">
        <v>24800</v>
      </c>
      <c r="D26" s="19">
        <v>29692.19</v>
      </c>
      <c r="E26" s="129">
        <v>31200</v>
      </c>
      <c r="F26" s="19">
        <v>27589.9</v>
      </c>
      <c r="G26" s="128">
        <v>39750</v>
      </c>
      <c r="H26" s="19">
        <v>16885.400000000001</v>
      </c>
      <c r="I26" s="87">
        <v>24300</v>
      </c>
      <c r="J26" s="88">
        <v>15390</v>
      </c>
      <c r="K26" s="90">
        <f>(50*405)+(6*1050)</f>
        <v>26550</v>
      </c>
      <c r="L26" s="90">
        <f>(51*405)+(5*1050)</f>
        <v>25905</v>
      </c>
      <c r="M26" s="90">
        <f>(51*405)+(5*1050)</f>
        <v>25905</v>
      </c>
      <c r="N26" s="339" t="s">
        <v>245</v>
      </c>
      <c r="O26" s="340" t="s">
        <v>245</v>
      </c>
      <c r="P26" s="334"/>
    </row>
    <row r="27" spans="1:16" s="106" customFormat="1" ht="25.9" x14ac:dyDescent="0.4">
      <c r="A27" s="9" t="s">
        <v>151</v>
      </c>
      <c r="B27" s="9" t="s">
        <v>152</v>
      </c>
      <c r="C27" s="19">
        <v>78.03</v>
      </c>
      <c r="D27" s="19">
        <v>12742.97</v>
      </c>
      <c r="E27" s="129">
        <v>15000</v>
      </c>
      <c r="F27" s="19">
        <v>13775.13</v>
      </c>
      <c r="G27" s="128">
        <v>14400</v>
      </c>
      <c r="H27" s="19">
        <v>6637.03</v>
      </c>
      <c r="I27" s="87">
        <v>8000</v>
      </c>
      <c r="J27" s="88">
        <v>3160.43</v>
      </c>
      <c r="K27" s="90">
        <v>12000</v>
      </c>
      <c r="L27" s="90">
        <f>5*2000</f>
        <v>10000</v>
      </c>
      <c r="M27" s="90">
        <f>L27*1.3</f>
        <v>13000</v>
      </c>
      <c r="N27" s="33" t="s">
        <v>244</v>
      </c>
      <c r="O27" s="333"/>
      <c r="P27" s="334"/>
    </row>
    <row r="28" spans="1:16" s="106" customFormat="1" ht="51.4" x14ac:dyDescent="0.4">
      <c r="A28" s="9" t="s">
        <v>243</v>
      </c>
      <c r="B28" s="9" t="s">
        <v>242</v>
      </c>
      <c r="C28" s="19">
        <v>9300</v>
      </c>
      <c r="D28" s="19">
        <v>27413.7</v>
      </c>
      <c r="E28" s="129">
        <v>20000</v>
      </c>
      <c r="F28" s="19">
        <v>33113.86</v>
      </c>
      <c r="G28" s="128">
        <v>32000</v>
      </c>
      <c r="H28" s="19">
        <v>21518.720000000001</v>
      </c>
      <c r="I28" s="87">
        <v>35000</v>
      </c>
      <c r="J28" s="88">
        <v>13921.17</v>
      </c>
      <c r="K28" s="341">
        <v>30000</v>
      </c>
      <c r="L28" s="341">
        <v>25000</v>
      </c>
      <c r="M28" s="341">
        <v>29000</v>
      </c>
      <c r="N28" s="33" t="s">
        <v>241</v>
      </c>
      <c r="O28" s="333"/>
      <c r="P28" s="334"/>
    </row>
    <row r="29" spans="1:16" s="106" customFormat="1" ht="13.15" x14ac:dyDescent="0.4">
      <c r="A29" s="9">
        <v>5385</v>
      </c>
      <c r="B29" s="9" t="s">
        <v>240</v>
      </c>
      <c r="C29" s="19">
        <v>1235</v>
      </c>
      <c r="D29" s="19">
        <v>1435</v>
      </c>
      <c r="E29" s="129">
        <v>1235</v>
      </c>
      <c r="F29" s="19">
        <v>1435</v>
      </c>
      <c r="G29" s="128">
        <v>0</v>
      </c>
      <c r="H29" s="19">
        <v>1120</v>
      </c>
      <c r="I29" s="87">
        <v>1235</v>
      </c>
      <c r="J29" s="88"/>
      <c r="K29" s="90">
        <v>1120</v>
      </c>
      <c r="L29" s="90">
        <v>1200</v>
      </c>
      <c r="M29" s="90">
        <v>1200</v>
      </c>
      <c r="N29" s="33"/>
      <c r="O29" s="333"/>
      <c r="P29" s="334"/>
    </row>
    <row r="30" spans="1:16" s="106" customFormat="1" ht="13.15" x14ac:dyDescent="0.4">
      <c r="A30" s="9" t="s">
        <v>239</v>
      </c>
      <c r="B30" s="9" t="s">
        <v>238</v>
      </c>
      <c r="C30" s="19">
        <v>4005.75</v>
      </c>
      <c r="D30" s="19">
        <v>955.65</v>
      </c>
      <c r="E30" s="129">
        <v>7500</v>
      </c>
      <c r="F30" s="19">
        <v>2104.09</v>
      </c>
      <c r="G30" s="128">
        <v>5250</v>
      </c>
      <c r="H30" s="19"/>
      <c r="I30" s="87">
        <v>0</v>
      </c>
      <c r="J30" s="88"/>
      <c r="K30" s="90">
        <v>0</v>
      </c>
      <c r="L30" s="90"/>
      <c r="M30" s="90"/>
      <c r="N30" s="33"/>
      <c r="O30" s="333"/>
      <c r="P30" s="334"/>
    </row>
    <row r="31" spans="1:16" s="106" customFormat="1" ht="13.15" x14ac:dyDescent="0.4">
      <c r="A31" s="9" t="s">
        <v>82</v>
      </c>
      <c r="B31" s="9" t="s">
        <v>83</v>
      </c>
      <c r="C31" s="19">
        <v>0</v>
      </c>
      <c r="D31" s="19">
        <v>558.89</v>
      </c>
      <c r="E31" s="129">
        <v>2500</v>
      </c>
      <c r="F31" s="19">
        <v>0</v>
      </c>
      <c r="G31" s="128">
        <v>2500</v>
      </c>
      <c r="H31" s="19">
        <v>294.02999999999997</v>
      </c>
      <c r="I31" s="87">
        <v>3500</v>
      </c>
      <c r="J31" s="88">
        <v>3000</v>
      </c>
      <c r="K31" s="90">
        <v>1500</v>
      </c>
      <c r="L31" s="90">
        <f>1500</f>
        <v>1500</v>
      </c>
      <c r="M31" s="90">
        <f>L31*1.3</f>
        <v>1950</v>
      </c>
      <c r="N31" s="33"/>
      <c r="O31" s="333"/>
      <c r="P31" s="334"/>
    </row>
    <row r="32" spans="1:16" s="106" customFormat="1" ht="13.15" x14ac:dyDescent="0.4">
      <c r="A32" s="107">
        <v>9010</v>
      </c>
      <c r="B32" s="347" t="s">
        <v>237</v>
      </c>
      <c r="C32" s="128"/>
      <c r="D32" s="19"/>
      <c r="E32" s="127"/>
      <c r="F32" s="19"/>
      <c r="G32" s="128"/>
      <c r="H32" s="19"/>
      <c r="I32" s="87"/>
      <c r="J32" s="88"/>
      <c r="K32" s="90"/>
      <c r="L32" s="90">
        <v>5000</v>
      </c>
      <c r="M32" s="88">
        <v>1000</v>
      </c>
      <c r="N32" s="33"/>
      <c r="O32" s="346"/>
      <c r="P32" s="334"/>
    </row>
    <row r="33" spans="1:16" s="106" customFormat="1" ht="219" x14ac:dyDescent="0.4">
      <c r="A33" s="107">
        <v>9011</v>
      </c>
      <c r="B33" s="347" t="s">
        <v>236</v>
      </c>
      <c r="C33" s="128"/>
      <c r="D33" s="19"/>
      <c r="E33" s="127"/>
      <c r="F33" s="19"/>
      <c r="G33" s="128"/>
      <c r="H33" s="19"/>
      <c r="I33" s="87"/>
      <c r="J33" s="88"/>
      <c r="K33" s="90"/>
      <c r="L33" s="90">
        <v>30000</v>
      </c>
      <c r="M33" s="88">
        <v>30000</v>
      </c>
      <c r="N33" s="33"/>
      <c r="O33" s="337" t="s">
        <v>539</v>
      </c>
      <c r="P33" s="7" t="s">
        <v>235</v>
      </c>
    </row>
    <row r="34" spans="1:16" s="106" customFormat="1" ht="344.65" x14ac:dyDescent="0.4">
      <c r="A34" s="107">
        <v>9012</v>
      </c>
      <c r="B34" s="348" t="s">
        <v>234</v>
      </c>
      <c r="C34" s="128"/>
      <c r="D34" s="19"/>
      <c r="E34" s="127"/>
      <c r="F34" s="19"/>
      <c r="G34" s="128"/>
      <c r="H34" s="19"/>
      <c r="I34" s="87"/>
      <c r="J34" s="88"/>
      <c r="K34" s="90"/>
      <c r="L34" s="90">
        <v>7500</v>
      </c>
      <c r="M34" s="88">
        <v>1000</v>
      </c>
      <c r="N34" s="33"/>
      <c r="O34" s="346" t="s">
        <v>540</v>
      </c>
      <c r="P34" s="7" t="s">
        <v>233</v>
      </c>
    </row>
    <row r="35" spans="1:16" s="106" customFormat="1" ht="128.25" x14ac:dyDescent="0.4">
      <c r="A35" s="107">
        <v>9013</v>
      </c>
      <c r="B35" s="348" t="s">
        <v>232</v>
      </c>
      <c r="C35" s="128"/>
      <c r="D35" s="19"/>
      <c r="E35" s="127"/>
      <c r="F35" s="19"/>
      <c r="G35" s="128"/>
      <c r="H35" s="19"/>
      <c r="I35" s="87"/>
      <c r="J35" s="88"/>
      <c r="K35" s="90"/>
      <c r="L35" s="349">
        <v>14200</v>
      </c>
      <c r="M35" s="88">
        <v>14626</v>
      </c>
      <c r="N35" s="33"/>
      <c r="O35" s="346" t="s">
        <v>541</v>
      </c>
      <c r="P35" s="7"/>
    </row>
    <row r="36" spans="1:16" s="106" customFormat="1" ht="192.75" x14ac:dyDescent="0.4">
      <c r="A36" s="107">
        <v>9014</v>
      </c>
      <c r="B36" s="348" t="s">
        <v>231</v>
      </c>
      <c r="C36" s="128"/>
      <c r="D36" s="19"/>
      <c r="E36" s="127"/>
      <c r="F36" s="19"/>
      <c r="G36" s="128"/>
      <c r="H36" s="19"/>
      <c r="I36" s="87"/>
      <c r="J36" s="88"/>
      <c r="K36" s="90"/>
      <c r="L36" s="349">
        <v>4000</v>
      </c>
      <c r="M36" s="350">
        <v>4120</v>
      </c>
      <c r="N36" s="33"/>
      <c r="O36" s="346" t="s">
        <v>542</v>
      </c>
      <c r="P36" s="7"/>
    </row>
    <row r="37" spans="1:16" s="106" customFormat="1" ht="13.15" x14ac:dyDescent="0.4">
      <c r="A37" s="107"/>
      <c r="B37" s="347" t="s">
        <v>64</v>
      </c>
      <c r="C37" s="125">
        <v>79705.98</v>
      </c>
      <c r="D37" s="50">
        <v>118655.88</v>
      </c>
      <c r="E37" s="125">
        <f>SUM(E12:E31)</f>
        <v>137685</v>
      </c>
      <c r="F37" s="50">
        <v>123565.01</v>
      </c>
      <c r="G37" s="125">
        <v>149750</v>
      </c>
      <c r="H37" s="50">
        <f>SUM(H12:H31)</f>
        <v>161609.94</v>
      </c>
      <c r="I37" s="85">
        <f>SUM(I12:I36)</f>
        <v>201985</v>
      </c>
      <c r="J37" s="85">
        <f>SUM(J12:J36)</f>
        <v>108452.98999999999</v>
      </c>
      <c r="K37" s="85">
        <f>SUM(K12:K36)</f>
        <v>192220</v>
      </c>
      <c r="L37" s="85">
        <f>SUM(L12:L36)</f>
        <v>304255</v>
      </c>
      <c r="M37" s="85">
        <f>SUM(M12:M36)</f>
        <v>314551</v>
      </c>
      <c r="N37" s="33"/>
      <c r="O37" s="333"/>
      <c r="P37" s="334"/>
    </row>
    <row r="38" spans="1:16" s="106" customFormat="1" ht="13.15" x14ac:dyDescent="0.4">
      <c r="A38" s="107"/>
      <c r="B38" s="347"/>
      <c r="C38" s="126"/>
      <c r="D38" s="27"/>
      <c r="E38" s="126"/>
      <c r="F38" s="27"/>
      <c r="G38" s="126"/>
      <c r="H38" s="27"/>
      <c r="I38" s="101"/>
      <c r="J38" s="335"/>
      <c r="K38" s="146"/>
      <c r="L38" s="146"/>
      <c r="M38" s="146"/>
      <c r="N38" s="33"/>
      <c r="O38" s="333"/>
      <c r="P38" s="334"/>
    </row>
    <row r="39" spans="1:16" s="106" customFormat="1" ht="13.15" x14ac:dyDescent="0.4">
      <c r="A39" s="107"/>
      <c r="B39" s="347" t="s">
        <v>65</v>
      </c>
      <c r="C39" s="125">
        <v>-1208.08</v>
      </c>
      <c r="D39" s="50">
        <v>-21559.18</v>
      </c>
      <c r="E39" s="125">
        <f>E9-E37</f>
        <v>-26035</v>
      </c>
      <c r="F39" s="50">
        <v>-37721.61</v>
      </c>
      <c r="G39" s="125">
        <v>-55193.4</v>
      </c>
      <c r="H39" s="50">
        <v>-85087.64</v>
      </c>
      <c r="I39" s="123">
        <f>I9-I37</f>
        <v>-140485</v>
      </c>
      <c r="J39" s="316">
        <f>J9-J37</f>
        <v>-75364.989999999991</v>
      </c>
      <c r="K39" s="351">
        <f>K9-K37</f>
        <v>-140920</v>
      </c>
      <c r="L39" s="351">
        <f>L9-L37</f>
        <v>-247950</v>
      </c>
      <c r="M39" s="316">
        <f>M9-M37</f>
        <v>-252995.25</v>
      </c>
      <c r="N39" s="33"/>
      <c r="O39" s="333"/>
      <c r="P39" s="334"/>
    </row>
    <row r="40" spans="1:16" x14ac:dyDescent="0.35">
      <c r="O40" s="307"/>
    </row>
    <row r="41" spans="1:16" x14ac:dyDescent="0.35">
      <c r="O41" s="307"/>
    </row>
    <row r="42" spans="1:16" x14ac:dyDescent="0.35">
      <c r="O42" s="307"/>
    </row>
    <row r="43" spans="1:16" x14ac:dyDescent="0.35">
      <c r="O43" s="307"/>
    </row>
    <row r="44" spans="1:16" x14ac:dyDescent="0.35">
      <c r="O44" s="307"/>
    </row>
    <row r="45" spans="1:16" x14ac:dyDescent="0.35">
      <c r="O45" s="307"/>
    </row>
    <row r="46" spans="1:16" x14ac:dyDescent="0.35">
      <c r="O46" s="307"/>
    </row>
    <row r="47" spans="1:16" x14ac:dyDescent="0.35">
      <c r="O47" s="307"/>
    </row>
    <row r="48" spans="1:16" x14ac:dyDescent="0.35">
      <c r="O48" s="307"/>
    </row>
    <row r="49" spans="15:15" x14ac:dyDescent="0.35">
      <c r="O49" s="307"/>
    </row>
    <row r="50" spans="15:15" x14ac:dyDescent="0.35">
      <c r="O50" s="307"/>
    </row>
    <row r="51" spans="15:15" x14ac:dyDescent="0.35">
      <c r="O51" s="307"/>
    </row>
    <row r="52" spans="15:15" x14ac:dyDescent="0.35">
      <c r="O52" s="307"/>
    </row>
    <row r="53" spans="15:15" x14ac:dyDescent="0.35">
      <c r="O53" s="307"/>
    </row>
    <row r="54" spans="15:15" x14ac:dyDescent="0.35">
      <c r="O54" s="307"/>
    </row>
    <row r="55" spans="15:15" x14ac:dyDescent="0.35">
      <c r="O55" s="307"/>
    </row>
    <row r="56" spans="15:15" x14ac:dyDescent="0.35">
      <c r="O56" s="307"/>
    </row>
    <row r="57" spans="15:15" x14ac:dyDescent="0.35">
      <c r="O57" s="307"/>
    </row>
    <row r="58" spans="15:15" x14ac:dyDescent="0.35">
      <c r="O58" s="307"/>
    </row>
    <row r="59" spans="15:15" x14ac:dyDescent="0.35">
      <c r="O59" s="307"/>
    </row>
    <row r="60" spans="15:15" x14ac:dyDescent="0.35">
      <c r="O60" s="307"/>
    </row>
    <row r="61" spans="15:15" x14ac:dyDescent="0.35">
      <c r="O61" s="307"/>
    </row>
    <row r="62" spans="15:15" x14ac:dyDescent="0.35">
      <c r="O62" s="307"/>
    </row>
    <row r="63" spans="15:15" x14ac:dyDescent="0.35">
      <c r="O63" s="307"/>
    </row>
    <row r="64" spans="15:15" x14ac:dyDescent="0.35">
      <c r="O64" s="307"/>
    </row>
    <row r="65" spans="15:15" x14ac:dyDescent="0.35">
      <c r="O65" s="307"/>
    </row>
    <row r="66" spans="15:15" x14ac:dyDescent="0.35">
      <c r="O66" s="307"/>
    </row>
    <row r="67" spans="15:15" x14ac:dyDescent="0.35">
      <c r="O67" s="307"/>
    </row>
    <row r="68" spans="15:15" x14ac:dyDescent="0.35">
      <c r="O68" s="307"/>
    </row>
    <row r="69" spans="15:15" x14ac:dyDescent="0.35">
      <c r="O69" s="307"/>
    </row>
    <row r="70" spans="15:15" x14ac:dyDescent="0.35">
      <c r="O70" s="307"/>
    </row>
    <row r="71" spans="15:15" x14ac:dyDescent="0.35">
      <c r="O71" s="307"/>
    </row>
    <row r="72" spans="15:15" x14ac:dyDescent="0.35">
      <c r="O72" s="307"/>
    </row>
    <row r="73" spans="15:15" x14ac:dyDescent="0.35">
      <c r="O73" s="307"/>
    </row>
    <row r="74" spans="15:15" x14ac:dyDescent="0.35">
      <c r="O74" s="307"/>
    </row>
    <row r="75" spans="15:15" x14ac:dyDescent="0.35">
      <c r="O75" s="307"/>
    </row>
    <row r="76" spans="15:15" x14ac:dyDescent="0.35">
      <c r="O76" s="307"/>
    </row>
    <row r="77" spans="15:15" x14ac:dyDescent="0.35">
      <c r="O77" s="307"/>
    </row>
  </sheetData>
  <mergeCells count="3">
    <mergeCell ref="A1:I1"/>
    <mergeCell ref="A4:G4"/>
    <mergeCell ref="A11:G1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46434-FCE8-4BC7-BAB7-F7332B2561BF}">
  <dimension ref="A1:O20"/>
  <sheetViews>
    <sheetView topLeftCell="A3" zoomScale="90" zoomScaleNormal="90" workbookViewId="0">
      <selection activeCell="K18" sqref="K18"/>
    </sheetView>
  </sheetViews>
  <sheetFormatPr defaultColWidth="9.19921875" defaultRowHeight="12.75" x14ac:dyDescent="0.35"/>
  <cols>
    <col min="1" max="1" width="13.46484375" style="1" customWidth="1"/>
    <col min="2" max="2" width="23" style="1" customWidth="1"/>
    <col min="3" max="5" width="12.59765625" style="1" customWidth="1"/>
    <col min="6" max="8" width="14.46484375" style="1" customWidth="1"/>
    <col min="9" max="13" width="14" style="1" customWidth="1"/>
    <col min="14" max="14" width="32.46484375" style="229" customWidth="1"/>
    <col min="15" max="15" width="17.46484375" style="56" customWidth="1"/>
    <col min="16" max="16384" width="9.19921875" style="1"/>
  </cols>
  <sheetData>
    <row r="1" spans="1:15" ht="13.15" x14ac:dyDescent="0.4">
      <c r="A1" s="445" t="s">
        <v>224</v>
      </c>
      <c r="B1" s="445"/>
      <c r="C1" s="445"/>
      <c r="D1" s="445"/>
      <c r="E1" s="445"/>
      <c r="F1" s="445"/>
      <c r="G1" s="445"/>
      <c r="H1" s="445"/>
      <c r="I1" s="445"/>
      <c r="J1" s="54"/>
      <c r="K1" s="54"/>
      <c r="L1" s="54"/>
      <c r="M1" s="54"/>
      <c r="N1" s="54" t="s">
        <v>3</v>
      </c>
      <c r="O1" s="60" t="s">
        <v>4</v>
      </c>
    </row>
    <row r="2" spans="1:15" ht="13.15" x14ac:dyDescent="0.4">
      <c r="A2" s="112" t="s">
        <v>1</v>
      </c>
      <c r="B2" s="310"/>
      <c r="C2" s="112">
        <v>2021</v>
      </c>
      <c r="D2" s="112">
        <v>2022</v>
      </c>
      <c r="E2" s="112">
        <v>2022</v>
      </c>
      <c r="F2" s="112">
        <v>2023</v>
      </c>
      <c r="G2" s="112">
        <v>2023</v>
      </c>
      <c r="H2" s="112">
        <v>2024</v>
      </c>
      <c r="I2" s="112">
        <v>2024</v>
      </c>
      <c r="J2" s="113">
        <v>45870</v>
      </c>
      <c r="K2" s="2">
        <v>2025</v>
      </c>
      <c r="L2" s="2">
        <v>2026</v>
      </c>
      <c r="M2" s="2">
        <v>2027</v>
      </c>
      <c r="N2" s="1"/>
    </row>
    <row r="3" spans="1:15" ht="13.15" x14ac:dyDescent="0.4">
      <c r="A3" s="112" t="s">
        <v>5</v>
      </c>
      <c r="B3" s="112" t="s">
        <v>6</v>
      </c>
      <c r="C3" s="112" t="s">
        <v>7</v>
      </c>
      <c r="D3" s="112" t="s">
        <v>8</v>
      </c>
      <c r="E3" s="112" t="s">
        <v>9</v>
      </c>
      <c r="F3" s="112" t="s">
        <v>10</v>
      </c>
      <c r="G3" s="112" t="s">
        <v>9</v>
      </c>
      <c r="H3" s="112" t="s">
        <v>8</v>
      </c>
      <c r="I3" s="112" t="s">
        <v>7</v>
      </c>
      <c r="J3" s="112" t="s">
        <v>11</v>
      </c>
      <c r="K3" s="2" t="s">
        <v>7</v>
      </c>
      <c r="L3" s="2" t="s">
        <v>7</v>
      </c>
      <c r="M3" s="2" t="s">
        <v>7</v>
      </c>
      <c r="N3" s="1"/>
    </row>
    <row r="4" spans="1:15" ht="13.15" x14ac:dyDescent="0.4">
      <c r="A4" s="451" t="s">
        <v>12</v>
      </c>
      <c r="B4" s="462"/>
      <c r="C4" s="462"/>
      <c r="D4" s="462"/>
      <c r="E4" s="462"/>
      <c r="F4" s="462"/>
      <c r="G4" s="462"/>
      <c r="H4" s="310"/>
      <c r="I4" s="114"/>
      <c r="J4" s="3"/>
      <c r="K4" s="58"/>
      <c r="L4" s="58"/>
      <c r="M4" s="3"/>
      <c r="N4" s="1"/>
      <c r="O4" s="56" t="s">
        <v>225</v>
      </c>
    </row>
    <row r="5" spans="1:15" x14ac:dyDescent="0.35">
      <c r="A5" s="18" t="s">
        <v>99</v>
      </c>
      <c r="B5" s="18" t="s">
        <v>100</v>
      </c>
      <c r="C5" s="14">
        <v>15160</v>
      </c>
      <c r="D5" s="14">
        <v>13160</v>
      </c>
      <c r="E5" s="115">
        <f>((3*35)*40) + (150*150)</f>
        <v>26700</v>
      </c>
      <c r="F5" s="13">
        <v>14590</v>
      </c>
      <c r="G5" s="14">
        <v>26700</v>
      </c>
      <c r="H5" s="14">
        <v>6985</v>
      </c>
      <c r="I5" s="116">
        <v>11000</v>
      </c>
      <c r="J5" s="14">
        <v>110</v>
      </c>
      <c r="K5" s="117">
        <v>0</v>
      </c>
      <c r="L5" s="116"/>
      <c r="M5" s="118"/>
      <c r="N5" s="58"/>
      <c r="O5" s="56" t="s">
        <v>226</v>
      </c>
    </row>
    <row r="6" spans="1:15" x14ac:dyDescent="0.35">
      <c r="A6" s="18" t="s">
        <v>105</v>
      </c>
      <c r="B6" s="18" t="s">
        <v>106</v>
      </c>
      <c r="C6" s="19">
        <v>6500</v>
      </c>
      <c r="D6" s="19">
        <v>18500</v>
      </c>
      <c r="E6" s="115">
        <v>7500</v>
      </c>
      <c r="F6" s="330">
        <v>18800</v>
      </c>
      <c r="G6" s="19">
        <v>7500</v>
      </c>
      <c r="H6" s="19">
        <v>16515</v>
      </c>
      <c r="I6" s="116">
        <v>15000</v>
      </c>
      <c r="J6" s="19"/>
      <c r="K6" s="117">
        <v>10000</v>
      </c>
      <c r="L6" s="117"/>
      <c r="M6" s="117"/>
      <c r="N6" s="58"/>
    </row>
    <row r="7" spans="1:15" ht="13.15" x14ac:dyDescent="0.4">
      <c r="A7" s="9"/>
      <c r="B7" s="9" t="s">
        <v>17</v>
      </c>
      <c r="C7" s="85">
        <f>SUM(C4:C6)</f>
        <v>21660</v>
      </c>
      <c r="D7" s="50">
        <v>31660</v>
      </c>
      <c r="E7" s="85">
        <f>SUM(E4:E6)</f>
        <v>34200</v>
      </c>
      <c r="F7" s="23">
        <v>33390</v>
      </c>
      <c r="G7" s="50">
        <v>34200</v>
      </c>
      <c r="H7" s="50">
        <f>SUM(H5:H6)</f>
        <v>23500</v>
      </c>
      <c r="I7" s="119">
        <v>26000</v>
      </c>
      <c r="J7" s="120">
        <f>SUM(J5:J6)</f>
        <v>110</v>
      </c>
      <c r="K7" s="121">
        <f>SUM(K5:K6)</f>
        <v>10000</v>
      </c>
      <c r="L7" s="121">
        <f>SUM(L5:L6)</f>
        <v>0</v>
      </c>
      <c r="M7" s="121">
        <f>SUM(M5:M6)</f>
        <v>0</v>
      </c>
      <c r="N7" s="1"/>
    </row>
    <row r="8" spans="1:15" ht="13.15" x14ac:dyDescent="0.4">
      <c r="A8" s="9"/>
      <c r="B8" s="9"/>
      <c r="C8" s="27"/>
      <c r="D8" s="27"/>
      <c r="E8" s="27"/>
      <c r="F8" s="27"/>
      <c r="G8" s="27"/>
      <c r="H8" s="27"/>
      <c r="I8" s="118"/>
      <c r="J8" s="118"/>
      <c r="K8" s="118"/>
      <c r="L8" s="118"/>
      <c r="M8" s="118"/>
      <c r="N8" s="1"/>
    </row>
    <row r="9" spans="1:15" ht="13.15" x14ac:dyDescent="0.4">
      <c r="A9" s="448" t="s">
        <v>18</v>
      </c>
      <c r="B9" s="447"/>
      <c r="C9" s="447"/>
      <c r="D9" s="447"/>
      <c r="E9" s="447"/>
      <c r="F9" s="447"/>
      <c r="G9" s="447"/>
      <c r="H9" s="8"/>
      <c r="I9" s="118"/>
      <c r="J9" s="118"/>
      <c r="K9" s="118"/>
      <c r="L9" s="118"/>
      <c r="M9" s="118"/>
      <c r="N9" s="1"/>
    </row>
    <row r="10" spans="1:15" ht="25.5" x14ac:dyDescent="0.35">
      <c r="A10" s="18" t="s">
        <v>19</v>
      </c>
      <c r="B10" s="18" t="s">
        <v>20</v>
      </c>
      <c r="C10" s="3"/>
      <c r="D10" s="19">
        <v>0</v>
      </c>
      <c r="E10" s="115">
        <v>250</v>
      </c>
      <c r="F10" s="19">
        <v>0</v>
      </c>
      <c r="G10" s="19">
        <v>250</v>
      </c>
      <c r="H10" s="19">
        <v>0</v>
      </c>
      <c r="I10" s="118">
        <v>250</v>
      </c>
      <c r="J10" s="19"/>
      <c r="K10" s="118">
        <v>1000</v>
      </c>
      <c r="L10" s="118"/>
      <c r="M10" s="118"/>
      <c r="N10" s="229" t="s">
        <v>227</v>
      </c>
    </row>
    <row r="11" spans="1:15" x14ac:dyDescent="0.35">
      <c r="A11" s="18" t="s">
        <v>116</v>
      </c>
      <c r="B11" s="18" t="s">
        <v>117</v>
      </c>
      <c r="C11" s="3"/>
      <c r="D11" s="19">
        <v>0</v>
      </c>
      <c r="E11" s="115">
        <v>100</v>
      </c>
      <c r="F11" s="19">
        <v>142.47</v>
      </c>
      <c r="G11" s="19">
        <v>100</v>
      </c>
      <c r="H11" s="19">
        <v>0</v>
      </c>
      <c r="I11" s="118">
        <v>100</v>
      </c>
      <c r="J11" s="19"/>
      <c r="K11" s="118">
        <v>100</v>
      </c>
      <c r="L11" s="118"/>
      <c r="M11" s="118"/>
      <c r="N11" s="1" t="s">
        <v>228</v>
      </c>
    </row>
    <row r="12" spans="1:15" x14ac:dyDescent="0.35">
      <c r="A12" s="18" t="s">
        <v>22</v>
      </c>
      <c r="B12" s="18" t="s">
        <v>23</v>
      </c>
      <c r="C12" s="3"/>
      <c r="D12" s="19">
        <v>0</v>
      </c>
      <c r="E12" s="115">
        <v>500</v>
      </c>
      <c r="F12" s="19">
        <v>102.41</v>
      </c>
      <c r="G12" s="19">
        <v>500</v>
      </c>
      <c r="H12" s="19">
        <v>0</v>
      </c>
      <c r="I12" s="118">
        <v>500</v>
      </c>
      <c r="J12" s="19"/>
      <c r="K12" s="118">
        <v>150</v>
      </c>
      <c r="L12" s="118"/>
      <c r="M12" s="118"/>
      <c r="N12" s="1" t="s">
        <v>228</v>
      </c>
    </row>
    <row r="13" spans="1:15" x14ac:dyDescent="0.35">
      <c r="A13" s="18" t="s">
        <v>25</v>
      </c>
      <c r="B13" s="18" t="s">
        <v>26</v>
      </c>
      <c r="C13" s="3"/>
      <c r="D13" s="19">
        <v>0</v>
      </c>
      <c r="E13" s="115"/>
      <c r="F13" s="19">
        <v>56</v>
      </c>
      <c r="G13" s="19">
        <v>0</v>
      </c>
      <c r="H13" s="19">
        <v>2400</v>
      </c>
      <c r="I13" s="118"/>
      <c r="J13" s="19"/>
      <c r="K13" s="118"/>
      <c r="L13" s="118"/>
      <c r="M13" s="118"/>
      <c r="N13" s="1"/>
    </row>
    <row r="14" spans="1:15" x14ac:dyDescent="0.35">
      <c r="A14" s="18" t="s">
        <v>125</v>
      </c>
      <c r="B14" s="18" t="s">
        <v>126</v>
      </c>
      <c r="C14" s="3"/>
      <c r="D14" s="19">
        <v>650.25</v>
      </c>
      <c r="E14" s="115">
        <v>3000</v>
      </c>
      <c r="F14" s="19">
        <v>1000</v>
      </c>
      <c r="G14" s="19">
        <v>3000</v>
      </c>
      <c r="H14" s="19">
        <v>6434.38</v>
      </c>
      <c r="I14" s="118">
        <v>3000</v>
      </c>
      <c r="J14" s="19"/>
      <c r="K14" s="118">
        <v>2000</v>
      </c>
      <c r="L14" s="118"/>
      <c r="M14" s="118"/>
      <c r="N14" s="1" t="s">
        <v>228</v>
      </c>
    </row>
    <row r="15" spans="1:15" x14ac:dyDescent="0.35">
      <c r="A15" s="18" t="s">
        <v>139</v>
      </c>
      <c r="B15" s="18" t="s">
        <v>140</v>
      </c>
      <c r="C15" s="3"/>
      <c r="D15" s="19">
        <v>6736.81</v>
      </c>
      <c r="E15" s="115">
        <v>5000</v>
      </c>
      <c r="F15" s="19">
        <v>3098.89</v>
      </c>
      <c r="G15" s="19">
        <v>5000</v>
      </c>
      <c r="H15" s="19">
        <v>1000</v>
      </c>
      <c r="I15" s="118">
        <v>5500</v>
      </c>
      <c r="J15" s="19"/>
      <c r="K15" s="118"/>
      <c r="L15" s="118"/>
      <c r="M15" s="118"/>
      <c r="N15" s="1"/>
    </row>
    <row r="16" spans="1:15" x14ac:dyDescent="0.35">
      <c r="A16" s="18" t="s">
        <v>147</v>
      </c>
      <c r="B16" s="18" t="s">
        <v>148</v>
      </c>
      <c r="C16" s="19">
        <v>13100</v>
      </c>
      <c r="D16" s="19">
        <v>11298.74</v>
      </c>
      <c r="E16" s="19">
        <v>19750</v>
      </c>
      <c r="F16" s="19">
        <v>12541</v>
      </c>
      <c r="G16" s="19">
        <v>19750</v>
      </c>
      <c r="H16" s="19">
        <v>7050</v>
      </c>
      <c r="I16" s="118">
        <v>12000</v>
      </c>
      <c r="J16" s="19">
        <v>1110</v>
      </c>
      <c r="K16" s="122">
        <v>6000</v>
      </c>
      <c r="L16" s="122"/>
      <c r="M16" s="122"/>
      <c r="N16" s="1" t="s">
        <v>229</v>
      </c>
    </row>
    <row r="17" spans="1:14" ht="13.15" x14ac:dyDescent="0.4">
      <c r="A17" s="9"/>
      <c r="B17" s="9" t="s">
        <v>64</v>
      </c>
      <c r="C17" s="123">
        <f>SUM(C10:C16)</f>
        <v>13100</v>
      </c>
      <c r="D17" s="50">
        <v>18685.8</v>
      </c>
      <c r="E17" s="123">
        <f>SUM(E10:E16)</f>
        <v>28600</v>
      </c>
      <c r="F17" s="50">
        <v>16940.77</v>
      </c>
      <c r="G17" s="50">
        <v>28600</v>
      </c>
      <c r="H17" s="50">
        <f>SUM(H10:H16)</f>
        <v>16884.38</v>
      </c>
      <c r="I17" s="124">
        <v>21350</v>
      </c>
      <c r="J17" s="124">
        <f>SUM(J10:J16)</f>
        <v>1110</v>
      </c>
      <c r="K17" s="124">
        <f>SUM(K10:K16)</f>
        <v>9250</v>
      </c>
      <c r="L17" s="124">
        <f>SUM(L10:L16)</f>
        <v>0</v>
      </c>
      <c r="M17" s="124">
        <f>SUM(M10:M16)</f>
        <v>0</v>
      </c>
      <c r="N17" s="1"/>
    </row>
    <row r="18" spans="1:14" ht="13.15" x14ac:dyDescent="0.4">
      <c r="A18" s="9"/>
      <c r="B18" s="9"/>
      <c r="C18" s="3"/>
      <c r="D18" s="27"/>
      <c r="E18" s="115"/>
      <c r="F18" s="27"/>
      <c r="G18" s="27"/>
      <c r="H18" s="27"/>
      <c r="I18" s="118"/>
      <c r="J18" s="118"/>
      <c r="K18" s="118"/>
      <c r="L18" s="118"/>
      <c r="M18" s="118"/>
      <c r="N18" s="1"/>
    </row>
    <row r="19" spans="1:14" ht="38.65" x14ac:dyDescent="0.4">
      <c r="A19" s="9"/>
      <c r="B19" s="9" t="s">
        <v>65</v>
      </c>
      <c r="C19" s="123">
        <f>C7-C17</f>
        <v>8560</v>
      </c>
      <c r="D19" s="50">
        <v>12974.2</v>
      </c>
      <c r="E19" s="123">
        <f>E7-E17</f>
        <v>5600</v>
      </c>
      <c r="F19" s="50">
        <v>16449.23</v>
      </c>
      <c r="G19" s="50">
        <v>5600</v>
      </c>
      <c r="H19" s="50">
        <f>H7-H17</f>
        <v>6615.619999999999</v>
      </c>
      <c r="I19" s="124">
        <v>4650</v>
      </c>
      <c r="J19" s="124">
        <f>J7-J17</f>
        <v>-1000</v>
      </c>
      <c r="K19" s="124">
        <f>K7-K17</f>
        <v>750</v>
      </c>
      <c r="L19" s="124">
        <f>L7-L17</f>
        <v>0</v>
      </c>
      <c r="M19" s="124">
        <f>M7-M17</f>
        <v>0</v>
      </c>
      <c r="N19" s="331" t="s">
        <v>230</v>
      </c>
    </row>
    <row r="20" spans="1:14" ht="13.15" x14ac:dyDescent="0.4">
      <c r="H20" s="21"/>
    </row>
  </sheetData>
  <mergeCells count="3">
    <mergeCell ref="A1:I1"/>
    <mergeCell ref="A4:G4"/>
    <mergeCell ref="A9:G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1F88-E536-4ADA-AB60-D9E53C8C578D}">
  <dimension ref="A1:P20"/>
  <sheetViews>
    <sheetView topLeftCell="A10" zoomScale="90" zoomScaleNormal="90" workbookViewId="0">
      <selection activeCell="K19" sqref="K19"/>
    </sheetView>
  </sheetViews>
  <sheetFormatPr defaultColWidth="8.796875" defaultRowHeight="12.75" x14ac:dyDescent="0.35"/>
  <cols>
    <col min="1" max="1" width="13.46484375" style="1" customWidth="1"/>
    <col min="2" max="2" width="26.46484375" style="1" customWidth="1"/>
    <col min="3" max="5" width="12.59765625" style="1" hidden="1" customWidth="1"/>
    <col min="6" max="7" width="14.46484375" style="1" hidden="1" customWidth="1"/>
    <col min="8" max="8" width="14.46484375" style="1" customWidth="1"/>
    <col min="9" max="9" width="13.59765625" style="1" customWidth="1"/>
    <col min="10" max="10" width="10.59765625" style="1" customWidth="1"/>
    <col min="11" max="11" width="13.59765625" style="1" customWidth="1"/>
    <col min="12" max="12" width="9.33203125" style="1" customWidth="1"/>
    <col min="13" max="13" width="11.46484375" style="325" customWidth="1"/>
    <col min="14" max="14" width="10.19921875" style="1" bestFit="1" customWidth="1"/>
    <col min="15" max="15" width="17" style="318" customWidth="1"/>
    <col min="16" max="16384" width="8.796875" style="1"/>
  </cols>
  <sheetData>
    <row r="1" spans="1:16" ht="13.15" x14ac:dyDescent="0.4">
      <c r="A1" s="445" t="s">
        <v>196</v>
      </c>
      <c r="B1" s="445"/>
      <c r="C1" s="445"/>
      <c r="D1" s="445"/>
      <c r="E1" s="445"/>
      <c r="F1" s="445"/>
      <c r="G1" s="445"/>
      <c r="H1" s="445"/>
      <c r="I1" s="445"/>
      <c r="J1" s="445"/>
      <c r="K1" s="445"/>
      <c r="L1" s="445"/>
      <c r="M1" s="445"/>
    </row>
    <row r="2" spans="1:16" ht="26.25" x14ac:dyDescent="0.4">
      <c r="A2" s="57" t="s">
        <v>1</v>
      </c>
      <c r="C2" s="57">
        <v>2021</v>
      </c>
      <c r="D2" s="57">
        <v>2022</v>
      </c>
      <c r="E2" s="57">
        <v>2022</v>
      </c>
      <c r="F2" s="57">
        <v>2023</v>
      </c>
      <c r="G2" s="57">
        <v>2023</v>
      </c>
      <c r="H2" s="57">
        <v>2024</v>
      </c>
      <c r="I2" s="57">
        <v>2024</v>
      </c>
      <c r="J2" s="59">
        <v>45870</v>
      </c>
      <c r="K2" s="57">
        <v>2025</v>
      </c>
      <c r="L2" s="57">
        <v>2026</v>
      </c>
      <c r="M2" s="57">
        <v>2027</v>
      </c>
      <c r="N2" s="319" t="s">
        <v>3</v>
      </c>
      <c r="O2" s="320" t="s">
        <v>4</v>
      </c>
      <c r="P2" s="321" t="s">
        <v>197</v>
      </c>
    </row>
    <row r="3" spans="1:16" ht="13.15" x14ac:dyDescent="0.4">
      <c r="A3" s="57" t="s">
        <v>5</v>
      </c>
      <c r="B3" s="57" t="s">
        <v>6</v>
      </c>
      <c r="C3" s="57" t="s">
        <v>7</v>
      </c>
      <c r="D3" s="57" t="s">
        <v>8</v>
      </c>
      <c r="E3" s="57" t="s">
        <v>7</v>
      </c>
      <c r="F3" s="57" t="s">
        <v>10</v>
      </c>
      <c r="G3" s="57" t="s">
        <v>9</v>
      </c>
      <c r="H3" s="57" t="s">
        <v>8</v>
      </c>
      <c r="I3" s="57" t="s">
        <v>7</v>
      </c>
      <c r="J3" s="57" t="s">
        <v>11</v>
      </c>
      <c r="K3" s="57" t="s">
        <v>7</v>
      </c>
      <c r="L3" s="57" t="s">
        <v>7</v>
      </c>
      <c r="M3" s="57" t="s">
        <v>7</v>
      </c>
    </row>
    <row r="4" spans="1:16" ht="13.15" x14ac:dyDescent="0.4">
      <c r="A4" s="448" t="s">
        <v>12</v>
      </c>
      <c r="B4" s="447"/>
      <c r="C4" s="447"/>
      <c r="D4" s="447"/>
      <c r="E4" s="447"/>
      <c r="F4" s="447"/>
      <c r="G4" s="447"/>
      <c r="H4" s="8"/>
      <c r="I4" s="8"/>
      <c r="J4" s="8"/>
      <c r="K4" s="8"/>
      <c r="L4" s="8"/>
      <c r="M4" s="322"/>
    </row>
    <row r="5" spans="1:16" x14ac:dyDescent="0.35">
      <c r="A5" s="18" t="s">
        <v>198</v>
      </c>
      <c r="B5" s="18" t="s">
        <v>199</v>
      </c>
      <c r="C5" s="14">
        <v>380</v>
      </c>
      <c r="D5" s="14">
        <v>475</v>
      </c>
      <c r="E5" s="14">
        <v>456</v>
      </c>
      <c r="F5" s="14">
        <v>285</v>
      </c>
      <c r="G5" s="14">
        <v>570</v>
      </c>
      <c r="H5" s="14">
        <v>285</v>
      </c>
      <c r="I5" s="110">
        <f>95*4</f>
        <v>380</v>
      </c>
      <c r="J5" s="110"/>
      <c r="K5" s="110">
        <v>570</v>
      </c>
      <c r="L5" s="110">
        <v>600</v>
      </c>
      <c r="M5" s="323">
        <v>630</v>
      </c>
    </row>
    <row r="6" spans="1:16" ht="76.5" x14ac:dyDescent="0.35">
      <c r="A6" s="18" t="s">
        <v>200</v>
      </c>
      <c r="B6" s="18" t="s">
        <v>201</v>
      </c>
      <c r="C6" s="19">
        <v>5800</v>
      </c>
      <c r="D6" s="19">
        <v>9400</v>
      </c>
      <c r="E6" s="19">
        <v>6960</v>
      </c>
      <c r="F6" s="19">
        <v>9350</v>
      </c>
      <c r="G6" s="19">
        <v>6960</v>
      </c>
      <c r="H6" s="19">
        <v>7750</v>
      </c>
      <c r="I6" s="110">
        <f>55*150</f>
        <v>8250</v>
      </c>
      <c r="J6" s="110">
        <v>7050</v>
      </c>
      <c r="K6" s="110">
        <f>75*150</f>
        <v>11250</v>
      </c>
      <c r="L6" s="110">
        <f>71*150</f>
        <v>10650</v>
      </c>
      <c r="M6" s="66">
        <f>75*150</f>
        <v>11250</v>
      </c>
      <c r="N6" s="324">
        <v>75</v>
      </c>
      <c r="O6" s="318" t="s">
        <v>202</v>
      </c>
      <c r="P6" s="229" t="s">
        <v>203</v>
      </c>
    </row>
    <row r="7" spans="1:16" ht="76.5" x14ac:dyDescent="0.35">
      <c r="A7" s="18" t="s">
        <v>204</v>
      </c>
      <c r="B7" s="18" t="s">
        <v>205</v>
      </c>
      <c r="C7" s="19">
        <v>2750</v>
      </c>
      <c r="D7" s="19">
        <v>2700</v>
      </c>
      <c r="E7" s="19">
        <v>3300</v>
      </c>
      <c r="F7" s="19">
        <v>2500</v>
      </c>
      <c r="G7" s="19">
        <v>3000</v>
      </c>
      <c r="H7" s="19">
        <v>3150</v>
      </c>
      <c r="I7" s="110">
        <f>15*250</f>
        <v>3750</v>
      </c>
      <c r="J7" s="110">
        <v>2125</v>
      </c>
      <c r="K7" s="110">
        <f>25*250</f>
        <v>6250</v>
      </c>
      <c r="L7" s="110">
        <f>250*15</f>
        <v>3750</v>
      </c>
      <c r="M7" s="66">
        <f>250*17</f>
        <v>4250</v>
      </c>
      <c r="N7" s="324">
        <v>25</v>
      </c>
      <c r="O7" s="318" t="s">
        <v>206</v>
      </c>
      <c r="P7" s="229" t="s">
        <v>207</v>
      </c>
    </row>
    <row r="8" spans="1:16" ht="76.5" x14ac:dyDescent="0.35">
      <c r="A8" s="18" t="s">
        <v>208</v>
      </c>
      <c r="B8" s="18" t="s">
        <v>209</v>
      </c>
      <c r="C8" s="19">
        <v>650</v>
      </c>
      <c r="D8" s="19">
        <v>955</v>
      </c>
      <c r="E8" s="19">
        <v>780</v>
      </c>
      <c r="F8" s="19">
        <v>150</v>
      </c>
      <c r="G8" s="19">
        <v>780</v>
      </c>
      <c r="H8" s="19">
        <v>100</v>
      </c>
      <c r="I8" s="110">
        <f>150*3</f>
        <v>450</v>
      </c>
      <c r="J8" s="110">
        <v>700</v>
      </c>
      <c r="K8" s="110">
        <v>700</v>
      </c>
      <c r="L8" s="110">
        <v>1050</v>
      </c>
      <c r="M8" s="323">
        <v>1400</v>
      </c>
      <c r="N8" s="325">
        <v>2</v>
      </c>
      <c r="O8" s="318" t="s">
        <v>210</v>
      </c>
      <c r="P8" s="229" t="s">
        <v>211</v>
      </c>
    </row>
    <row r="9" spans="1:16" x14ac:dyDescent="0.35">
      <c r="A9" s="18" t="s">
        <v>212</v>
      </c>
      <c r="B9" s="18" t="s">
        <v>213</v>
      </c>
      <c r="C9" s="19">
        <v>4750</v>
      </c>
      <c r="D9" s="19">
        <v>4300</v>
      </c>
      <c r="E9" s="19">
        <v>5700</v>
      </c>
      <c r="F9" s="19">
        <v>4400</v>
      </c>
      <c r="G9" s="19">
        <v>5600</v>
      </c>
      <c r="H9" s="19">
        <v>4000</v>
      </c>
      <c r="I9" s="110">
        <v>4600</v>
      </c>
      <c r="J9" s="110">
        <v>3700</v>
      </c>
      <c r="K9" s="110">
        <v>4100</v>
      </c>
      <c r="L9" s="110">
        <v>3700</v>
      </c>
      <c r="M9" s="323">
        <v>4300</v>
      </c>
      <c r="N9" s="325" t="s">
        <v>214</v>
      </c>
    </row>
    <row r="10" spans="1:16" ht="14.25" customHeight="1" x14ac:dyDescent="0.35">
      <c r="A10" s="18" t="s">
        <v>215</v>
      </c>
      <c r="B10" s="18" t="s">
        <v>216</v>
      </c>
      <c r="C10" s="19">
        <v>0</v>
      </c>
      <c r="D10" s="19"/>
      <c r="E10" s="19">
        <v>0</v>
      </c>
      <c r="F10" s="19">
        <v>75</v>
      </c>
      <c r="G10" s="19">
        <v>0</v>
      </c>
      <c r="H10" s="19">
        <v>0</v>
      </c>
      <c r="I10" s="110">
        <v>50</v>
      </c>
      <c r="J10" s="110"/>
      <c r="K10" s="110">
        <v>50</v>
      </c>
      <c r="L10" s="110">
        <v>0</v>
      </c>
      <c r="M10" s="326"/>
    </row>
    <row r="11" spans="1:16" ht="13.15" x14ac:dyDescent="0.4">
      <c r="A11" s="9"/>
      <c r="B11" s="9" t="s">
        <v>17</v>
      </c>
      <c r="C11" s="50">
        <v>14330</v>
      </c>
      <c r="D11" s="50">
        <v>17830</v>
      </c>
      <c r="E11" s="50">
        <f>SUM(E5:E10)</f>
        <v>17196</v>
      </c>
      <c r="F11" s="50">
        <v>16760</v>
      </c>
      <c r="G11" s="50">
        <v>16910</v>
      </c>
      <c r="H11" s="50">
        <f t="shared" ref="H11:M11" si="0">SUM(H5:H10)</f>
        <v>15285</v>
      </c>
      <c r="I11" s="85">
        <f t="shared" si="0"/>
        <v>17480</v>
      </c>
      <c r="J11" s="85">
        <f t="shared" si="0"/>
        <v>13575</v>
      </c>
      <c r="K11" s="85">
        <f>SUM(K5:K10)</f>
        <v>22920</v>
      </c>
      <c r="L11" s="85">
        <f>SUM(L5:L10)</f>
        <v>19750</v>
      </c>
      <c r="M11" s="85">
        <f t="shared" si="0"/>
        <v>21830</v>
      </c>
    </row>
    <row r="12" spans="1:16" ht="13.15" x14ac:dyDescent="0.4">
      <c r="A12" s="9"/>
      <c r="B12" s="9"/>
      <c r="C12" s="27"/>
      <c r="D12" s="50"/>
      <c r="E12" s="27"/>
      <c r="F12" s="27"/>
      <c r="G12" s="27"/>
      <c r="H12" s="27"/>
      <c r="I12" s="110"/>
      <c r="J12" s="110"/>
      <c r="K12" s="110"/>
      <c r="L12" s="110"/>
      <c r="M12" s="326"/>
    </row>
    <row r="13" spans="1:16" ht="13.15" x14ac:dyDescent="0.4">
      <c r="A13" s="9" t="s">
        <v>18</v>
      </c>
      <c r="B13" s="8"/>
      <c r="C13" s="8"/>
      <c r="D13" s="27"/>
      <c r="E13" s="8"/>
      <c r="F13" s="8"/>
      <c r="G13" s="8"/>
      <c r="H13" s="8"/>
      <c r="I13" s="110"/>
      <c r="J13" s="110"/>
      <c r="K13" s="110"/>
      <c r="L13" s="110"/>
      <c r="M13" s="326"/>
    </row>
    <row r="14" spans="1:16" ht="38.25" x14ac:dyDescent="0.35">
      <c r="A14" s="18" t="s">
        <v>217</v>
      </c>
      <c r="B14" s="18" t="s">
        <v>218</v>
      </c>
      <c r="C14" s="19">
        <v>1369.29</v>
      </c>
      <c r="D14" s="19">
        <v>643.73</v>
      </c>
      <c r="E14" s="110">
        <v>2500</v>
      </c>
      <c r="F14" s="19">
        <v>793.37</v>
      </c>
      <c r="G14" s="19">
        <v>1500</v>
      </c>
      <c r="H14" s="19">
        <v>155.25</v>
      </c>
      <c r="I14" s="110">
        <v>1200</v>
      </c>
      <c r="J14" s="110">
        <v>97.41</v>
      </c>
      <c r="K14" s="110">
        <v>1500</v>
      </c>
      <c r="L14" s="110">
        <v>1500</v>
      </c>
      <c r="M14" s="110">
        <v>1500</v>
      </c>
      <c r="O14" s="318" t="s">
        <v>219</v>
      </c>
    </row>
    <row r="15" spans="1:16" x14ac:dyDescent="0.35">
      <c r="A15" s="18" t="s">
        <v>19</v>
      </c>
      <c r="B15" s="18" t="s">
        <v>20</v>
      </c>
      <c r="C15" s="19">
        <v>355.5</v>
      </c>
      <c r="D15" s="19">
        <v>886.63</v>
      </c>
      <c r="E15" s="110">
        <v>1000</v>
      </c>
      <c r="F15" s="19">
        <v>808.35</v>
      </c>
      <c r="G15" s="19">
        <v>1000</v>
      </c>
      <c r="H15" s="19">
        <v>490.6</v>
      </c>
      <c r="I15" s="110">
        <v>750</v>
      </c>
      <c r="J15" s="110">
        <v>162.15</v>
      </c>
      <c r="K15" s="110">
        <v>1000</v>
      </c>
      <c r="L15" s="110">
        <v>1000</v>
      </c>
      <c r="M15" s="110">
        <v>1000</v>
      </c>
      <c r="O15" s="318" t="s">
        <v>220</v>
      </c>
    </row>
    <row r="16" spans="1:16" ht="25.5" x14ac:dyDescent="0.35">
      <c r="A16" s="18" t="s">
        <v>22</v>
      </c>
      <c r="B16" s="18" t="s">
        <v>23</v>
      </c>
      <c r="C16" s="19">
        <v>360.2</v>
      </c>
      <c r="D16" s="19">
        <v>46.89</v>
      </c>
      <c r="E16" s="110">
        <v>500</v>
      </c>
      <c r="F16" s="19">
        <v>0</v>
      </c>
      <c r="G16" s="19">
        <v>500</v>
      </c>
      <c r="H16" s="19">
        <v>0</v>
      </c>
      <c r="I16" s="110">
        <v>400</v>
      </c>
      <c r="J16" s="110"/>
      <c r="K16" s="110">
        <v>150</v>
      </c>
      <c r="L16" s="110">
        <v>175</v>
      </c>
      <c r="M16" s="110">
        <v>200</v>
      </c>
      <c r="O16" s="318" t="s">
        <v>221</v>
      </c>
    </row>
    <row r="17" spans="1:15" ht="76.5" x14ac:dyDescent="0.35">
      <c r="A17" s="18" t="s">
        <v>82</v>
      </c>
      <c r="B17" s="18" t="s">
        <v>83</v>
      </c>
      <c r="C17" s="19">
        <v>0</v>
      </c>
      <c r="D17" s="19">
        <v>0</v>
      </c>
      <c r="E17" s="110">
        <v>5000</v>
      </c>
      <c r="F17" s="19">
        <v>0</v>
      </c>
      <c r="G17" s="19">
        <v>10000</v>
      </c>
      <c r="H17" s="19">
        <v>0</v>
      </c>
      <c r="I17" s="110">
        <v>7500</v>
      </c>
      <c r="J17" s="110">
        <v>4249</v>
      </c>
      <c r="K17" s="170">
        <v>12000</v>
      </c>
      <c r="L17" s="170">
        <v>5000</v>
      </c>
      <c r="M17" s="327">
        <f>L17*1.3</f>
        <v>6500</v>
      </c>
      <c r="N17" s="328" t="s">
        <v>222</v>
      </c>
      <c r="O17" s="318" t="s">
        <v>223</v>
      </c>
    </row>
    <row r="18" spans="1:15" ht="13.15" x14ac:dyDescent="0.4">
      <c r="A18" s="9"/>
      <c r="B18" s="9" t="s">
        <v>64</v>
      </c>
      <c r="C18" s="50">
        <v>2084.9899999999998</v>
      </c>
      <c r="D18" s="50">
        <v>1577.25</v>
      </c>
      <c r="E18" s="50">
        <f>SUM(E14:E17)</f>
        <v>9000</v>
      </c>
      <c r="F18" s="50">
        <v>1601.72</v>
      </c>
      <c r="G18" s="50">
        <v>13000</v>
      </c>
      <c r="H18" s="50">
        <f t="shared" ref="H18:M18" si="1">SUM(H14:H17)</f>
        <v>645.85</v>
      </c>
      <c r="I18" s="85">
        <f t="shared" si="1"/>
        <v>9850</v>
      </c>
      <c r="J18" s="85">
        <f t="shared" si="1"/>
        <v>4508.5600000000004</v>
      </c>
      <c r="K18" s="85">
        <f>SUM(K14:K17)</f>
        <v>14650</v>
      </c>
      <c r="L18" s="85">
        <f>SUM(L14:L17)</f>
        <v>7675</v>
      </c>
      <c r="M18" s="85">
        <f t="shared" si="1"/>
        <v>9200</v>
      </c>
    </row>
    <row r="19" spans="1:15" ht="13.15" x14ac:dyDescent="0.4">
      <c r="A19" s="9"/>
      <c r="B19" s="9"/>
      <c r="C19" s="27"/>
      <c r="D19" s="50"/>
      <c r="E19" s="27"/>
      <c r="F19" s="27"/>
      <c r="G19" s="27"/>
      <c r="H19" s="27"/>
      <c r="I19" s="110"/>
      <c r="J19" s="110"/>
      <c r="K19" s="110"/>
      <c r="L19" s="110"/>
      <c r="M19" s="326"/>
    </row>
    <row r="20" spans="1:15" ht="13.5" thickBot="1" x14ac:dyDescent="0.45">
      <c r="A20" s="9"/>
      <c r="B20" s="9" t="s">
        <v>65</v>
      </c>
      <c r="C20" s="50">
        <v>12245.01</v>
      </c>
      <c r="D20" s="50">
        <f>D11-D18</f>
        <v>16252.75</v>
      </c>
      <c r="E20" s="111">
        <f>E11-E18</f>
        <v>8196</v>
      </c>
      <c r="F20" s="50">
        <v>15158.28</v>
      </c>
      <c r="G20" s="50">
        <v>3910</v>
      </c>
      <c r="H20" s="329">
        <f t="shared" ref="H20:M20" si="2">H11-H18</f>
        <v>14639.15</v>
      </c>
      <c r="I20" s="85">
        <f t="shared" si="2"/>
        <v>7630</v>
      </c>
      <c r="J20" s="85">
        <f t="shared" si="2"/>
        <v>9066.4399999999987</v>
      </c>
      <c r="K20" s="85">
        <f t="shared" si="2"/>
        <v>8270</v>
      </c>
      <c r="L20" s="85">
        <f>L11-L18</f>
        <v>12075</v>
      </c>
      <c r="M20" s="85">
        <f t="shared" si="2"/>
        <v>12630</v>
      </c>
    </row>
  </sheetData>
  <mergeCells count="2">
    <mergeCell ref="A1:M1"/>
    <mergeCell ref="A4:G4"/>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74A2C-925B-4E70-A139-E5AD071E47C2}">
  <dimension ref="A1:O17"/>
  <sheetViews>
    <sheetView zoomScale="90" zoomScaleNormal="90" workbookViewId="0">
      <selection activeCell="K15" sqref="K15"/>
    </sheetView>
  </sheetViews>
  <sheetFormatPr defaultColWidth="9.19921875" defaultRowHeight="12.75" x14ac:dyDescent="0.35"/>
  <cols>
    <col min="1" max="1" width="13.46484375" style="1" customWidth="1"/>
    <col min="2" max="2" width="26.46484375" style="1" customWidth="1"/>
    <col min="3" max="3" width="10.46484375" style="1" customWidth="1"/>
    <col min="4" max="5" width="12.59765625" style="1" customWidth="1"/>
    <col min="6" max="8" width="14.46484375" style="1" customWidth="1"/>
    <col min="9" max="13" width="13.33203125" style="58" customWidth="1"/>
    <col min="14" max="14" width="25.46484375" style="34" customWidth="1"/>
    <col min="15" max="15" width="27" style="56" customWidth="1"/>
    <col min="16" max="16384" width="9.19921875" style="1"/>
  </cols>
  <sheetData>
    <row r="1" spans="1:15" s="58" customFormat="1" ht="13.15" x14ac:dyDescent="0.4">
      <c r="A1" s="445" t="s">
        <v>180</v>
      </c>
      <c r="B1" s="445"/>
      <c r="C1" s="445"/>
      <c r="D1" s="445"/>
      <c r="E1" s="445"/>
      <c r="F1" s="445"/>
      <c r="G1" s="445"/>
      <c r="H1" s="445"/>
      <c r="I1" s="445"/>
      <c r="J1" s="54"/>
      <c r="K1" s="54"/>
      <c r="L1" s="54"/>
      <c r="M1" s="54"/>
      <c r="N1" s="189"/>
      <c r="O1" s="131"/>
    </row>
    <row r="2" spans="1:15" ht="13.15" x14ac:dyDescent="0.4">
      <c r="A2" s="57" t="s">
        <v>1</v>
      </c>
      <c r="C2" s="308">
        <v>2021</v>
      </c>
      <c r="D2" s="57">
        <v>2022</v>
      </c>
      <c r="E2" s="57">
        <v>2022</v>
      </c>
      <c r="F2" s="57">
        <v>2023</v>
      </c>
      <c r="G2" s="57">
        <v>2023</v>
      </c>
      <c r="H2" s="57">
        <v>2024</v>
      </c>
      <c r="I2" s="152">
        <v>2024</v>
      </c>
      <c r="J2" s="59">
        <v>45870</v>
      </c>
      <c r="K2" s="57">
        <v>2025</v>
      </c>
      <c r="L2" s="57">
        <v>2026</v>
      </c>
      <c r="M2" s="57">
        <v>2027</v>
      </c>
      <c r="N2" s="180" t="s">
        <v>3</v>
      </c>
      <c r="O2" s="60" t="s">
        <v>4</v>
      </c>
    </row>
    <row r="3" spans="1:15" ht="13.15" x14ac:dyDescent="0.4">
      <c r="A3" s="57" t="s">
        <v>5</v>
      </c>
      <c r="B3" s="57" t="s">
        <v>6</v>
      </c>
      <c r="C3" s="57" t="s">
        <v>7</v>
      </c>
      <c r="D3" s="57" t="s">
        <v>10</v>
      </c>
      <c r="E3" s="57" t="s">
        <v>9</v>
      </c>
      <c r="F3" s="57" t="s">
        <v>10</v>
      </c>
      <c r="G3" s="57" t="s">
        <v>9</v>
      </c>
      <c r="H3" s="57" t="s">
        <v>8</v>
      </c>
      <c r="I3" s="57" t="s">
        <v>7</v>
      </c>
      <c r="J3" s="309" t="s">
        <v>11</v>
      </c>
      <c r="K3" s="57" t="s">
        <v>7</v>
      </c>
      <c r="L3" s="57" t="s">
        <v>7</v>
      </c>
      <c r="M3" s="57" t="s">
        <v>7</v>
      </c>
    </row>
    <row r="4" spans="1:15" ht="13.15" x14ac:dyDescent="0.4">
      <c r="A4" s="451" t="s">
        <v>12</v>
      </c>
      <c r="B4" s="462"/>
      <c r="C4" s="462"/>
      <c r="D4" s="462"/>
      <c r="E4" s="462"/>
      <c r="F4" s="462"/>
      <c r="G4" s="462"/>
      <c r="H4" s="310"/>
      <c r="I4" s="114"/>
    </row>
    <row r="5" spans="1:15" ht="25.5" x14ac:dyDescent="0.35">
      <c r="A5" s="18" t="s">
        <v>93</v>
      </c>
      <c r="B5" s="18" t="s">
        <v>94</v>
      </c>
      <c r="C5" s="311">
        <v>45000</v>
      </c>
      <c r="D5" s="14">
        <v>50000</v>
      </c>
      <c r="E5" s="108">
        <v>50000</v>
      </c>
      <c r="F5" s="14">
        <v>65000</v>
      </c>
      <c r="G5" s="14">
        <v>65000</v>
      </c>
      <c r="H5" s="14">
        <v>70000</v>
      </c>
      <c r="I5" s="115">
        <f>12*5000</f>
        <v>60000</v>
      </c>
      <c r="J5" s="115">
        <v>75000</v>
      </c>
      <c r="K5" s="115">
        <f>13*5000</f>
        <v>65000</v>
      </c>
      <c r="L5" s="115">
        <f>17*5000</f>
        <v>85000</v>
      </c>
      <c r="M5" s="115">
        <f>17*5000</f>
        <v>85000</v>
      </c>
      <c r="N5" s="7" t="s">
        <v>181</v>
      </c>
      <c r="O5" s="56" t="s">
        <v>182</v>
      </c>
    </row>
    <row r="6" spans="1:15" x14ac:dyDescent="0.35">
      <c r="A6" s="18" t="s">
        <v>183</v>
      </c>
      <c r="B6" s="18" t="s">
        <v>184</v>
      </c>
      <c r="C6" s="312">
        <v>50000</v>
      </c>
      <c r="D6" s="19">
        <v>29140.55</v>
      </c>
      <c r="E6" s="108">
        <v>40000</v>
      </c>
      <c r="F6" s="19">
        <v>10340.5</v>
      </c>
      <c r="G6" s="19">
        <v>10000</v>
      </c>
      <c r="H6" s="19">
        <v>7120</v>
      </c>
      <c r="I6" s="115">
        <v>10000</v>
      </c>
      <c r="J6" s="115">
        <v>1449.2</v>
      </c>
      <c r="K6" s="115">
        <v>6000</v>
      </c>
      <c r="L6" s="115">
        <v>5000</v>
      </c>
      <c r="M6" s="115">
        <f>L6*1.03</f>
        <v>5150</v>
      </c>
      <c r="N6" s="7" t="s">
        <v>185</v>
      </c>
      <c r="O6" s="56" t="s">
        <v>186</v>
      </c>
    </row>
    <row r="7" spans="1:15" ht="13.15" x14ac:dyDescent="0.4">
      <c r="A7" s="9"/>
      <c r="B7" s="9" t="s">
        <v>17</v>
      </c>
      <c r="C7" s="313">
        <f t="shared" ref="C7" si="0">SUM(C5:C6)</f>
        <v>95000</v>
      </c>
      <c r="D7" s="50">
        <v>79140.55</v>
      </c>
      <c r="E7" s="50">
        <f>SUM(E5:E6)</f>
        <v>90000</v>
      </c>
      <c r="F7" s="50">
        <v>75340.5</v>
      </c>
      <c r="G7" s="50">
        <v>75000</v>
      </c>
      <c r="H7" s="123">
        <f t="shared" ref="H7:M7" si="1">SUM(H5:H6)</f>
        <v>77120</v>
      </c>
      <c r="I7" s="123">
        <f t="shared" si="1"/>
        <v>70000</v>
      </c>
      <c r="J7" s="123">
        <f t="shared" si="1"/>
        <v>76449.2</v>
      </c>
      <c r="K7" s="123">
        <f t="shared" si="1"/>
        <v>71000</v>
      </c>
      <c r="L7" s="123">
        <f>SUM(L5:L6)</f>
        <v>90000</v>
      </c>
      <c r="M7" s="123">
        <f t="shared" si="1"/>
        <v>90150</v>
      </c>
      <c r="N7" s="7"/>
    </row>
    <row r="8" spans="1:15" ht="13.15" x14ac:dyDescent="0.4">
      <c r="A8" s="9"/>
      <c r="B8" s="9"/>
      <c r="C8" s="9"/>
      <c r="D8" s="27"/>
      <c r="E8" s="27"/>
      <c r="F8" s="27"/>
      <c r="G8" s="27"/>
      <c r="H8" s="27"/>
      <c r="I8" s="115"/>
      <c r="J8" s="115"/>
      <c r="K8" s="115"/>
      <c r="L8" s="115"/>
      <c r="M8" s="115"/>
      <c r="N8" s="7"/>
    </row>
    <row r="9" spans="1:15" ht="13.15" x14ac:dyDescent="0.4">
      <c r="A9" s="448" t="s">
        <v>18</v>
      </c>
      <c r="B9" s="447"/>
      <c r="C9" s="447"/>
      <c r="D9" s="447"/>
      <c r="E9" s="447"/>
      <c r="F9" s="447"/>
      <c r="G9" s="447"/>
      <c r="H9" s="8"/>
      <c r="I9" s="115"/>
      <c r="J9" s="115"/>
      <c r="K9" s="115"/>
      <c r="L9" s="115"/>
      <c r="M9" s="115"/>
      <c r="N9" s="7"/>
    </row>
    <row r="10" spans="1:15" x14ac:dyDescent="0.35">
      <c r="A10" s="18" t="s">
        <v>187</v>
      </c>
      <c r="B10" s="18" t="s">
        <v>188</v>
      </c>
      <c r="C10" s="311">
        <v>15000</v>
      </c>
      <c r="D10" s="19">
        <v>12588.02</v>
      </c>
      <c r="E10" s="109">
        <v>20000</v>
      </c>
      <c r="F10" s="19">
        <v>17288.919999999998</v>
      </c>
      <c r="G10" s="19">
        <v>20000</v>
      </c>
      <c r="H10" s="19">
        <v>11016.76</v>
      </c>
      <c r="I10" s="115">
        <v>20000</v>
      </c>
      <c r="J10" s="115">
        <v>7552.86</v>
      </c>
      <c r="K10" s="115">
        <v>12000</v>
      </c>
      <c r="L10" s="115">
        <v>13500</v>
      </c>
      <c r="M10" s="115">
        <f>L10*1.03</f>
        <v>13905</v>
      </c>
      <c r="N10" s="7"/>
      <c r="O10" s="56" t="s">
        <v>189</v>
      </c>
    </row>
    <row r="11" spans="1:15" x14ac:dyDescent="0.35">
      <c r="A11" s="18" t="s">
        <v>22</v>
      </c>
      <c r="B11" s="18" t="s">
        <v>23</v>
      </c>
      <c r="C11" s="311">
        <v>100</v>
      </c>
      <c r="D11" s="19">
        <v>36.21</v>
      </c>
      <c r="E11" s="109">
        <v>100</v>
      </c>
      <c r="F11" s="19">
        <v>0</v>
      </c>
      <c r="G11" s="19">
        <v>100</v>
      </c>
      <c r="H11" s="19">
        <v>45.33</v>
      </c>
      <c r="I11" s="115">
        <v>100</v>
      </c>
      <c r="J11" s="115">
        <v>38.21</v>
      </c>
      <c r="K11" s="115">
        <v>100</v>
      </c>
      <c r="L11" s="115">
        <v>100</v>
      </c>
      <c r="M11" s="115">
        <v>100</v>
      </c>
      <c r="N11" s="7"/>
    </row>
    <row r="12" spans="1:15" ht="25.5" x14ac:dyDescent="0.35">
      <c r="A12" s="18" t="s">
        <v>190</v>
      </c>
      <c r="B12" s="18" t="s">
        <v>191</v>
      </c>
      <c r="C12" s="311">
        <v>31000</v>
      </c>
      <c r="D12" s="19">
        <v>21767.65</v>
      </c>
      <c r="E12" s="109">
        <v>31000</v>
      </c>
      <c r="F12" s="19">
        <v>38397.4</v>
      </c>
      <c r="G12" s="19">
        <v>31000</v>
      </c>
      <c r="H12" s="19">
        <v>33154.559999999998</v>
      </c>
      <c r="I12" s="115">
        <v>31405</v>
      </c>
      <c r="J12" s="115">
        <v>22058.43</v>
      </c>
      <c r="K12" s="115">
        <v>35000</v>
      </c>
      <c r="L12" s="115">
        <v>35000</v>
      </c>
      <c r="M12" s="115">
        <f>L12*1.03</f>
        <v>36050</v>
      </c>
      <c r="N12" s="7" t="s">
        <v>192</v>
      </c>
      <c r="O12" s="56" t="s">
        <v>193</v>
      </c>
    </row>
    <row r="13" spans="1:15" x14ac:dyDescent="0.35">
      <c r="A13" s="18" t="s">
        <v>194</v>
      </c>
      <c r="B13" s="18" t="s">
        <v>195</v>
      </c>
      <c r="C13" s="311">
        <v>3500</v>
      </c>
      <c r="D13" s="19">
        <v>540</v>
      </c>
      <c r="E13" s="108">
        <v>0</v>
      </c>
      <c r="F13" s="19">
        <v>300</v>
      </c>
      <c r="G13" s="19">
        <v>0</v>
      </c>
      <c r="H13" s="19">
        <v>0</v>
      </c>
      <c r="I13" s="115">
        <v>0</v>
      </c>
      <c r="J13" s="115"/>
      <c r="K13" s="115"/>
      <c r="L13" s="115"/>
      <c r="M13" s="115"/>
      <c r="N13" s="7"/>
    </row>
    <row r="14" spans="1:15" ht="13.15" x14ac:dyDescent="0.4">
      <c r="A14" s="9"/>
      <c r="B14" s="9" t="s">
        <v>64</v>
      </c>
      <c r="C14" s="313">
        <f>SUM(C10:C13)</f>
        <v>49600</v>
      </c>
      <c r="D14" s="50">
        <v>34931.879999999997</v>
      </c>
      <c r="E14" s="50">
        <f>SUM(E10:E13)</f>
        <v>51100</v>
      </c>
      <c r="F14" s="50">
        <v>55986.32</v>
      </c>
      <c r="G14" s="50">
        <v>51100</v>
      </c>
      <c r="H14" s="123">
        <f t="shared" ref="H14:M14" si="2">SUM(H10:H13)</f>
        <v>44216.649999999994</v>
      </c>
      <c r="I14" s="123">
        <f t="shared" si="2"/>
        <v>51505</v>
      </c>
      <c r="J14" s="123">
        <f t="shared" si="2"/>
        <v>29649.5</v>
      </c>
      <c r="K14" s="123">
        <f>SUM(K10:K13)</f>
        <v>47100</v>
      </c>
      <c r="L14" s="123">
        <f>SUM(L10:L13)</f>
        <v>48600</v>
      </c>
      <c r="M14" s="123">
        <f t="shared" si="2"/>
        <v>50055</v>
      </c>
      <c r="N14" s="7"/>
    </row>
    <row r="15" spans="1:15" ht="13.15" x14ac:dyDescent="0.4">
      <c r="A15" s="9"/>
      <c r="B15" s="9"/>
      <c r="C15" s="314"/>
      <c r="D15" s="27"/>
      <c r="E15" s="27"/>
      <c r="F15" s="27"/>
      <c r="G15" s="27"/>
      <c r="H15" s="27"/>
      <c r="I15" s="143"/>
      <c r="J15" s="143"/>
      <c r="K15" s="115"/>
      <c r="L15" s="115"/>
      <c r="M15" s="115"/>
      <c r="N15" s="7"/>
    </row>
    <row r="16" spans="1:15" ht="13.15" x14ac:dyDescent="0.4">
      <c r="A16" s="9"/>
      <c r="B16" s="9" t="s">
        <v>65</v>
      </c>
      <c r="C16" s="315">
        <f>SUM(C7-C14)</f>
        <v>45400</v>
      </c>
      <c r="D16" s="50">
        <v>44208.67</v>
      </c>
      <c r="E16" s="50">
        <f>SUM(E7-E14)</f>
        <v>38900</v>
      </c>
      <c r="F16" s="50">
        <v>19354.18</v>
      </c>
      <c r="G16" s="50">
        <v>23900</v>
      </c>
      <c r="H16" s="316">
        <f t="shared" ref="H16:M16" si="3">H7-H14</f>
        <v>32903.350000000006</v>
      </c>
      <c r="I16" s="316">
        <f t="shared" si="3"/>
        <v>18495</v>
      </c>
      <c r="J16" s="123">
        <f t="shared" si="3"/>
        <v>46799.7</v>
      </c>
      <c r="K16" s="123">
        <f t="shared" si="3"/>
        <v>23900</v>
      </c>
      <c r="L16" s="123">
        <f t="shared" si="3"/>
        <v>41400</v>
      </c>
      <c r="M16" s="123">
        <f t="shared" si="3"/>
        <v>40095</v>
      </c>
      <c r="N16" s="7"/>
    </row>
    <row r="17" spans="1:14" x14ac:dyDescent="0.35">
      <c r="A17" s="317"/>
      <c r="B17" s="317"/>
      <c r="C17" s="317"/>
      <c r="D17" s="317"/>
      <c r="E17" s="317"/>
      <c r="F17" s="317"/>
      <c r="G17" s="317"/>
      <c r="H17" s="317"/>
      <c r="I17" s="143"/>
      <c r="J17" s="143"/>
      <c r="K17" s="115"/>
      <c r="L17" s="115"/>
      <c r="M17" s="115"/>
      <c r="N17" s="7"/>
    </row>
  </sheetData>
  <mergeCells count="3">
    <mergeCell ref="A1:I1"/>
    <mergeCell ref="A4:G4"/>
    <mergeCell ref="A9:G9"/>
  </mergeCells>
  <conditionalFormatting sqref="C7 C14 C16">
    <cfRule type="cellIs" dxfId="0" priority="1" stopIfTrue="1" operator="lessThan">
      <formula>0</formula>
    </cfRule>
  </conditionalFormatting>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A0353-A82A-4DAC-A6BB-D65FBFBE783F}">
  <dimension ref="A1:O833"/>
  <sheetViews>
    <sheetView topLeftCell="A20" zoomScale="90" zoomScaleNormal="90" workbookViewId="0">
      <selection activeCell="L25" sqref="L25"/>
    </sheetView>
  </sheetViews>
  <sheetFormatPr defaultColWidth="9.19921875" defaultRowHeight="12.75" x14ac:dyDescent="0.35"/>
  <cols>
    <col min="1" max="1" width="18.796875" style="1" bestFit="1" customWidth="1"/>
    <col min="2" max="2" width="25.46484375" style="1" bestFit="1" customWidth="1"/>
    <col min="3" max="4" width="9.59765625" style="1" customWidth="1"/>
    <col min="5" max="5" width="11.46484375" style="1" bestFit="1" customWidth="1"/>
    <col min="6" max="6" width="12.46484375" style="1" customWidth="1"/>
    <col min="7" max="8" width="12" style="1" customWidth="1"/>
    <col min="9" max="9" width="10.19921875" style="1" customWidth="1"/>
    <col min="10" max="11" width="10" style="1" customWidth="1"/>
    <col min="12" max="12" width="14" style="1" customWidth="1"/>
    <col min="13" max="13" width="14.796875" style="1" customWidth="1"/>
    <col min="14" max="14" width="33.796875" style="1" customWidth="1"/>
    <col min="15" max="15" width="34.796875" style="56" customWidth="1"/>
    <col min="16" max="16384" width="9.19921875" style="1"/>
  </cols>
  <sheetData>
    <row r="1" spans="1:15" ht="13.15" x14ac:dyDescent="0.4">
      <c r="A1" s="445" t="s">
        <v>179</v>
      </c>
      <c r="B1" s="445"/>
      <c r="C1" s="445"/>
      <c r="D1" s="445"/>
      <c r="E1" s="445"/>
      <c r="F1" s="445"/>
      <c r="G1" s="445"/>
      <c r="H1" s="445"/>
      <c r="I1" s="445"/>
      <c r="J1" s="300"/>
      <c r="K1" s="54"/>
      <c r="L1" s="54"/>
      <c r="M1" s="54"/>
      <c r="N1" s="301" t="s">
        <v>3</v>
      </c>
      <c r="O1" s="60" t="s">
        <v>4</v>
      </c>
    </row>
    <row r="2" spans="1:15" ht="13.15" x14ac:dyDescent="0.4">
      <c r="A2" s="57" t="s">
        <v>1</v>
      </c>
      <c r="C2" s="57">
        <v>2021</v>
      </c>
      <c r="D2" s="57">
        <v>2022</v>
      </c>
      <c r="E2" s="57">
        <v>2022</v>
      </c>
      <c r="F2" s="57">
        <v>2023</v>
      </c>
      <c r="G2" s="57">
        <v>2023</v>
      </c>
      <c r="H2" s="57">
        <v>2024</v>
      </c>
      <c r="I2" s="57">
        <v>2024</v>
      </c>
      <c r="J2" s="57" t="s">
        <v>178</v>
      </c>
      <c r="K2" s="57">
        <v>2025</v>
      </c>
      <c r="L2" s="57">
        <v>2026</v>
      </c>
      <c r="M2" s="57">
        <v>2027</v>
      </c>
      <c r="N2" s="229"/>
    </row>
    <row r="3" spans="1:15" ht="13.15" x14ac:dyDescent="0.4">
      <c r="A3" s="225" t="s">
        <v>5</v>
      </c>
      <c r="B3" s="225" t="s">
        <v>6</v>
      </c>
      <c r="C3" s="225" t="s">
        <v>7</v>
      </c>
      <c r="D3" s="225" t="s">
        <v>8</v>
      </c>
      <c r="E3" s="225" t="s">
        <v>9</v>
      </c>
      <c r="F3" s="225" t="s">
        <v>10</v>
      </c>
      <c r="G3" s="226" t="s">
        <v>9</v>
      </c>
      <c r="H3" s="226" t="s">
        <v>8</v>
      </c>
      <c r="I3" s="226" t="s">
        <v>7</v>
      </c>
      <c r="J3" s="226" t="s">
        <v>11</v>
      </c>
      <c r="K3" s="57" t="s">
        <v>7</v>
      </c>
      <c r="L3" s="57" t="s">
        <v>7</v>
      </c>
      <c r="M3" s="57" t="s">
        <v>7</v>
      </c>
      <c r="N3" s="229"/>
    </row>
    <row r="4" spans="1:15" ht="13.15" x14ac:dyDescent="0.4">
      <c r="A4" s="106" t="s">
        <v>12</v>
      </c>
      <c r="B4" s="58"/>
      <c r="C4" s="58"/>
      <c r="D4" s="58"/>
      <c r="E4" s="58"/>
      <c r="F4" s="58"/>
      <c r="G4" s="58"/>
      <c r="H4" s="58"/>
      <c r="I4" s="58"/>
      <c r="J4" s="105"/>
      <c r="K4" s="3"/>
      <c r="L4" s="3"/>
      <c r="M4" s="3"/>
      <c r="N4" s="229"/>
    </row>
    <row r="5" spans="1:15" x14ac:dyDescent="0.35">
      <c r="A5" s="18" t="s">
        <v>99</v>
      </c>
      <c r="B5" s="18" t="s">
        <v>100</v>
      </c>
      <c r="C5" s="14">
        <v>180</v>
      </c>
      <c r="D5" s="14">
        <v>8825</v>
      </c>
      <c r="E5" s="89">
        <v>19500</v>
      </c>
      <c r="F5" s="14">
        <v>8875</v>
      </c>
      <c r="G5" s="14">
        <v>29500</v>
      </c>
      <c r="H5" s="302">
        <v>51425</v>
      </c>
      <c r="I5" s="88">
        <v>47500</v>
      </c>
      <c r="J5" s="87">
        <v>30975</v>
      </c>
      <c r="K5" s="88">
        <f>475*125</f>
        <v>59375</v>
      </c>
      <c r="L5" s="88">
        <f>475*125</f>
        <v>59375</v>
      </c>
      <c r="M5" s="87"/>
      <c r="N5" s="34" t="s">
        <v>177</v>
      </c>
    </row>
    <row r="6" spans="1:15" x14ac:dyDescent="0.35">
      <c r="A6" s="18" t="s">
        <v>105</v>
      </c>
      <c r="B6" s="18" t="s">
        <v>106</v>
      </c>
      <c r="C6" s="19">
        <v>25000</v>
      </c>
      <c r="D6" s="19">
        <v>20000</v>
      </c>
      <c r="E6" s="89">
        <v>22500</v>
      </c>
      <c r="F6" s="19">
        <v>26000</v>
      </c>
      <c r="G6" s="19">
        <v>24200</v>
      </c>
      <c r="H6" s="149">
        <v>35600</v>
      </c>
      <c r="I6" s="88">
        <v>40000</v>
      </c>
      <c r="J6" s="87">
        <v>45150</v>
      </c>
      <c r="K6" s="88">
        <v>33500</v>
      </c>
      <c r="L6" s="104">
        <v>55000</v>
      </c>
      <c r="M6" s="87"/>
      <c r="N6" s="229" t="s">
        <v>176</v>
      </c>
      <c r="O6" s="56" t="s">
        <v>175</v>
      </c>
    </row>
    <row r="7" spans="1:15" ht="13.15" x14ac:dyDescent="0.4">
      <c r="A7" s="103"/>
      <c r="B7" s="103" t="s">
        <v>17</v>
      </c>
      <c r="C7" s="53">
        <v>25180</v>
      </c>
      <c r="D7" s="53">
        <v>28825</v>
      </c>
      <c r="E7" s="53">
        <f>SUM(E5:E6)</f>
        <v>42000</v>
      </c>
      <c r="F7" s="53">
        <v>34875</v>
      </c>
      <c r="G7" s="53">
        <v>53700</v>
      </c>
      <c r="H7" s="303">
        <f>SUM(H5:H6)</f>
        <v>87025</v>
      </c>
      <c r="I7" s="102">
        <f>SUM(I5:I6)</f>
        <v>87500</v>
      </c>
      <c r="J7" s="102">
        <f>SUM(J5:J6)</f>
        <v>76125</v>
      </c>
      <c r="K7" s="102">
        <f>SUM(K5:K6)</f>
        <v>92875</v>
      </c>
      <c r="L7" s="85">
        <f>SUM(L5:L6)</f>
        <v>114375</v>
      </c>
      <c r="M7" s="85"/>
      <c r="N7" s="229"/>
    </row>
    <row r="8" spans="1:15" ht="13.15" x14ac:dyDescent="0.4">
      <c r="A8" s="9"/>
      <c r="B8" s="9"/>
      <c r="C8" s="27"/>
      <c r="D8" s="27"/>
      <c r="E8" s="27"/>
      <c r="F8" s="27"/>
      <c r="G8" s="27"/>
      <c r="H8" s="27"/>
      <c r="I8" s="87"/>
      <c r="J8" s="87"/>
      <c r="K8" s="87"/>
      <c r="L8" s="100"/>
      <c r="M8" s="87"/>
      <c r="N8" s="229"/>
    </row>
    <row r="9" spans="1:15" ht="13.15" x14ac:dyDescent="0.4">
      <c r="A9" s="101" t="s">
        <v>18</v>
      </c>
      <c r="B9" s="3"/>
      <c r="C9" s="3"/>
      <c r="D9" s="3"/>
      <c r="E9" s="3"/>
      <c r="F9" s="3"/>
      <c r="G9" s="3"/>
      <c r="H9" s="3"/>
      <c r="I9" s="87"/>
      <c r="J9" s="87"/>
      <c r="K9" s="87"/>
      <c r="L9" s="100"/>
      <c r="M9" s="87"/>
      <c r="N9" s="229"/>
    </row>
    <row r="10" spans="1:15" x14ac:dyDescent="0.35">
      <c r="A10" s="99" t="s">
        <v>19</v>
      </c>
      <c r="B10" s="99" t="s">
        <v>20</v>
      </c>
      <c r="C10" s="97">
        <v>0</v>
      </c>
      <c r="D10" s="97">
        <v>158.66</v>
      </c>
      <c r="E10" s="98">
        <v>250</v>
      </c>
      <c r="F10" s="97">
        <v>0</v>
      </c>
      <c r="G10" s="97">
        <v>250</v>
      </c>
      <c r="H10" s="164">
        <v>628.17999999999995</v>
      </c>
      <c r="I10" s="96">
        <v>250</v>
      </c>
      <c r="J10" s="95">
        <v>2390.5500000000002</v>
      </c>
      <c r="K10" s="94">
        <v>700</v>
      </c>
      <c r="L10" s="304">
        <v>2400</v>
      </c>
      <c r="M10" s="91"/>
      <c r="O10" s="229" t="s">
        <v>174</v>
      </c>
    </row>
    <row r="11" spans="1:15" x14ac:dyDescent="0.35">
      <c r="A11" s="18" t="s">
        <v>116</v>
      </c>
      <c r="B11" s="18" t="s">
        <v>117</v>
      </c>
      <c r="C11" s="19">
        <v>0</v>
      </c>
      <c r="D11" s="19">
        <v>0</v>
      </c>
      <c r="E11" s="89">
        <v>250</v>
      </c>
      <c r="F11" s="19">
        <v>0</v>
      </c>
      <c r="G11" s="19">
        <v>250</v>
      </c>
      <c r="H11" s="149">
        <v>34.020000000000003</v>
      </c>
      <c r="I11" s="93">
        <v>250</v>
      </c>
      <c r="J11" s="91"/>
      <c r="K11" s="92">
        <v>50</v>
      </c>
      <c r="L11" s="91">
        <v>100</v>
      </c>
      <c r="M11" s="91"/>
      <c r="N11" s="229"/>
    </row>
    <row r="12" spans="1:15" x14ac:dyDescent="0.35">
      <c r="A12" s="18" t="s">
        <v>173</v>
      </c>
      <c r="B12" s="18" t="s">
        <v>172</v>
      </c>
      <c r="C12" s="19">
        <v>0</v>
      </c>
      <c r="D12" s="19">
        <v>0</v>
      </c>
      <c r="E12" s="89">
        <v>500</v>
      </c>
      <c r="F12" s="19">
        <v>0</v>
      </c>
      <c r="G12" s="19">
        <v>500</v>
      </c>
      <c r="H12" s="149">
        <v>124.5</v>
      </c>
      <c r="I12" s="90"/>
      <c r="J12" s="87"/>
      <c r="K12" s="88">
        <v>0</v>
      </c>
      <c r="L12" s="87">
        <v>0</v>
      </c>
      <c r="M12" s="87"/>
      <c r="N12" s="229"/>
    </row>
    <row r="13" spans="1:15" x14ac:dyDescent="0.35">
      <c r="A13" s="18" t="s">
        <v>22</v>
      </c>
      <c r="B13" s="18" t="s">
        <v>23</v>
      </c>
      <c r="C13" s="19">
        <v>0</v>
      </c>
      <c r="D13" s="19">
        <v>0</v>
      </c>
      <c r="E13" s="89">
        <v>500</v>
      </c>
      <c r="F13" s="19">
        <v>348.33</v>
      </c>
      <c r="G13" s="19">
        <v>500</v>
      </c>
      <c r="H13" s="149">
        <v>196.7</v>
      </c>
      <c r="I13" s="90">
        <v>500</v>
      </c>
      <c r="J13" s="87">
        <v>307.22000000000003</v>
      </c>
      <c r="K13" s="88">
        <v>200</v>
      </c>
      <c r="L13" s="87">
        <v>350</v>
      </c>
      <c r="M13" s="87"/>
      <c r="N13" s="229"/>
    </row>
    <row r="14" spans="1:15" x14ac:dyDescent="0.35">
      <c r="A14" s="18" t="s">
        <v>69</v>
      </c>
      <c r="B14" s="18" t="s">
        <v>70</v>
      </c>
      <c r="C14" s="19">
        <v>4120</v>
      </c>
      <c r="D14" s="19">
        <v>4243.6000000000004</v>
      </c>
      <c r="E14" s="89">
        <v>4244</v>
      </c>
      <c r="F14" s="19">
        <v>4370.88</v>
      </c>
      <c r="G14" s="19">
        <v>4370.91</v>
      </c>
      <c r="H14" s="149">
        <v>4502</v>
      </c>
      <c r="I14" s="90">
        <v>4502.04</v>
      </c>
      <c r="J14" s="87">
        <v>4952.24</v>
      </c>
      <c r="K14" s="88">
        <v>4952.24</v>
      </c>
      <c r="L14" s="87">
        <v>4952.24</v>
      </c>
      <c r="M14" s="87"/>
      <c r="N14" s="305"/>
    </row>
    <row r="15" spans="1:15" x14ac:dyDescent="0.35">
      <c r="A15" s="18">
        <v>5245</v>
      </c>
      <c r="B15" s="18" t="s">
        <v>171</v>
      </c>
      <c r="C15" s="19"/>
      <c r="D15" s="19"/>
      <c r="E15" s="89"/>
      <c r="F15" s="19"/>
      <c r="G15" s="19"/>
      <c r="H15" s="149"/>
      <c r="I15" s="90"/>
      <c r="J15" s="87">
        <v>3560.72</v>
      </c>
      <c r="K15" s="88"/>
      <c r="L15" s="87"/>
      <c r="M15" s="87"/>
      <c r="N15" s="305"/>
    </row>
    <row r="16" spans="1:15" x14ac:dyDescent="0.35">
      <c r="A16" s="18" t="s">
        <v>25</v>
      </c>
      <c r="B16" s="18" t="s">
        <v>26</v>
      </c>
      <c r="C16" s="19">
        <v>0</v>
      </c>
      <c r="D16" s="19">
        <v>2500</v>
      </c>
      <c r="E16" s="89">
        <v>250</v>
      </c>
      <c r="F16" s="19">
        <v>0</v>
      </c>
      <c r="G16" s="19">
        <v>2500</v>
      </c>
      <c r="H16" s="149">
        <v>1920.99</v>
      </c>
      <c r="I16" s="90">
        <v>500</v>
      </c>
      <c r="J16" s="87"/>
      <c r="K16" s="88">
        <v>1500</v>
      </c>
      <c r="L16" s="87">
        <v>1500</v>
      </c>
      <c r="M16" s="87"/>
      <c r="N16" s="229"/>
    </row>
    <row r="17" spans="1:15" x14ac:dyDescent="0.35">
      <c r="A17" s="18" t="s">
        <v>73</v>
      </c>
      <c r="B17" s="18" t="s">
        <v>28</v>
      </c>
      <c r="C17" s="19">
        <v>0</v>
      </c>
      <c r="D17" s="19">
        <v>4477.8900000000003</v>
      </c>
      <c r="E17" s="89">
        <v>5500</v>
      </c>
      <c r="F17" s="19">
        <v>6150.61</v>
      </c>
      <c r="G17" s="19">
        <v>6000</v>
      </c>
      <c r="H17" s="149">
        <v>6837.8</v>
      </c>
      <c r="I17" s="90">
        <v>10000</v>
      </c>
      <c r="J17" s="87">
        <v>7240.35</v>
      </c>
      <c r="K17" s="88">
        <v>9000</v>
      </c>
      <c r="L17" s="87">
        <v>9000</v>
      </c>
      <c r="M17" s="87"/>
      <c r="N17" s="229"/>
    </row>
    <row r="18" spans="1:15" ht="25.5" x14ac:dyDescent="0.35">
      <c r="A18" s="18" t="s">
        <v>125</v>
      </c>
      <c r="B18" s="18" t="s">
        <v>126</v>
      </c>
      <c r="C18" s="19">
        <v>0</v>
      </c>
      <c r="D18" s="19">
        <v>1489.06</v>
      </c>
      <c r="E18" s="89">
        <v>4750</v>
      </c>
      <c r="F18" s="19">
        <v>2391.75</v>
      </c>
      <c r="G18" s="19">
        <v>2000</v>
      </c>
      <c r="H18" s="149">
        <v>5661.34</v>
      </c>
      <c r="I18" s="90">
        <v>4000</v>
      </c>
      <c r="J18" s="87">
        <v>5530.16</v>
      </c>
      <c r="K18" s="88">
        <v>5500</v>
      </c>
      <c r="L18" s="87">
        <v>8350</v>
      </c>
      <c r="M18" s="87"/>
      <c r="O18" s="229" t="s">
        <v>170</v>
      </c>
    </row>
    <row r="19" spans="1:15" x14ac:dyDescent="0.35">
      <c r="A19" s="18" t="s">
        <v>134</v>
      </c>
      <c r="B19" s="18" t="s">
        <v>135</v>
      </c>
      <c r="C19" s="19">
        <v>0</v>
      </c>
      <c r="D19" s="19">
        <v>0</v>
      </c>
      <c r="E19" s="89">
        <v>500</v>
      </c>
      <c r="F19" s="19">
        <v>0</v>
      </c>
      <c r="G19" s="19">
        <v>1000</v>
      </c>
      <c r="H19" s="149">
        <v>0</v>
      </c>
      <c r="I19" s="90">
        <v>500</v>
      </c>
      <c r="J19" s="87">
        <v>0</v>
      </c>
      <c r="K19" s="88">
        <v>100</v>
      </c>
      <c r="L19" s="87">
        <v>100</v>
      </c>
      <c r="M19" s="87"/>
      <c r="N19" s="229"/>
    </row>
    <row r="20" spans="1:15" ht="25.5" x14ac:dyDescent="0.35">
      <c r="A20" s="18" t="s">
        <v>139</v>
      </c>
      <c r="B20" s="18" t="s">
        <v>140</v>
      </c>
      <c r="C20" s="19">
        <v>0</v>
      </c>
      <c r="D20" s="19">
        <v>24184.03</v>
      </c>
      <c r="E20" s="89">
        <v>20350</v>
      </c>
      <c r="F20" s="19">
        <v>19203.3</v>
      </c>
      <c r="G20" s="19">
        <v>25000</v>
      </c>
      <c r="H20" s="149">
        <v>47403.03</v>
      </c>
      <c r="I20" s="88">
        <v>43320</v>
      </c>
      <c r="J20" s="87">
        <v>49987.040000000001</v>
      </c>
      <c r="K20" s="88">
        <v>52000</v>
      </c>
      <c r="L20" s="87">
        <v>81600</v>
      </c>
      <c r="M20" s="87"/>
      <c r="O20" s="229" t="s">
        <v>169</v>
      </c>
    </row>
    <row r="21" spans="1:15" x14ac:dyDescent="0.35">
      <c r="A21" s="18" t="s">
        <v>144</v>
      </c>
      <c r="B21" s="18" t="s">
        <v>145</v>
      </c>
      <c r="C21" s="19">
        <v>0</v>
      </c>
      <c r="D21" s="19">
        <v>275</v>
      </c>
      <c r="E21" s="89">
        <v>1000</v>
      </c>
      <c r="F21" s="19">
        <v>0</v>
      </c>
      <c r="G21" s="19">
        <v>1000</v>
      </c>
      <c r="H21" s="149">
        <v>6332.25</v>
      </c>
      <c r="I21" s="88">
        <v>2800</v>
      </c>
      <c r="J21" s="87">
        <v>6500</v>
      </c>
      <c r="K21" s="88">
        <v>6500</v>
      </c>
      <c r="L21" s="87">
        <v>1500</v>
      </c>
      <c r="M21" s="87"/>
      <c r="N21" s="229"/>
      <c r="O21" s="56" t="s">
        <v>168</v>
      </c>
    </row>
    <row r="22" spans="1:15" x14ac:dyDescent="0.35">
      <c r="A22" s="18">
        <v>5380</v>
      </c>
      <c r="B22" s="18" t="s">
        <v>167</v>
      </c>
      <c r="C22" s="19"/>
      <c r="D22" s="19"/>
      <c r="E22" s="89"/>
      <c r="F22" s="19"/>
      <c r="G22" s="19"/>
      <c r="H22" s="149">
        <v>1380.76</v>
      </c>
      <c r="I22" s="88">
        <v>6000</v>
      </c>
      <c r="J22" s="87"/>
      <c r="K22" s="88">
        <v>4500</v>
      </c>
      <c r="L22" s="87">
        <v>1500</v>
      </c>
      <c r="M22" s="87"/>
      <c r="N22" s="306"/>
    </row>
    <row r="23" spans="1:15" x14ac:dyDescent="0.35">
      <c r="A23" s="18">
        <v>5381</v>
      </c>
      <c r="B23" s="18" t="s">
        <v>166</v>
      </c>
      <c r="C23" s="19"/>
      <c r="D23" s="19"/>
      <c r="E23" s="89"/>
      <c r="F23" s="19"/>
      <c r="G23" s="19"/>
      <c r="H23" s="149">
        <v>2587.64</v>
      </c>
      <c r="I23" s="88">
        <v>1250</v>
      </c>
      <c r="J23" s="87"/>
      <c r="K23" s="88">
        <v>2500</v>
      </c>
      <c r="L23" s="87">
        <v>1500</v>
      </c>
      <c r="M23" s="87"/>
      <c r="N23" s="229"/>
    </row>
    <row r="24" spans="1:15" ht="13.15" x14ac:dyDescent="0.4">
      <c r="A24" s="9"/>
      <c r="B24" s="9" t="s">
        <v>64</v>
      </c>
      <c r="C24" s="50">
        <v>4120</v>
      </c>
      <c r="D24" s="50">
        <v>37328.239999999998</v>
      </c>
      <c r="E24" s="50">
        <f>SUM(E10:E21)</f>
        <v>38094</v>
      </c>
      <c r="F24" s="50">
        <v>32464.87</v>
      </c>
      <c r="G24" s="50">
        <v>43370.91</v>
      </c>
      <c r="H24" s="174">
        <f>SUM(H10:H23)</f>
        <v>77609.209999999992</v>
      </c>
      <c r="I24" s="86">
        <f>SUM(I10:I23)</f>
        <v>73872.040000000008</v>
      </c>
      <c r="J24" s="86">
        <f>SUM(J10:J23)</f>
        <v>80468.28</v>
      </c>
      <c r="K24" s="86">
        <f>SUM(K10:K23)</f>
        <v>87502.239999999991</v>
      </c>
      <c r="L24" s="85">
        <f>SUM(L10:L23)</f>
        <v>112852.23999999999</v>
      </c>
      <c r="M24" s="85"/>
      <c r="N24" s="229"/>
    </row>
    <row r="25" spans="1:15" ht="13.15" x14ac:dyDescent="0.4">
      <c r="A25" s="9"/>
      <c r="B25" s="9"/>
      <c r="C25" s="27"/>
      <c r="D25" s="27"/>
      <c r="E25" s="27"/>
      <c r="F25" s="27"/>
      <c r="G25" s="27"/>
      <c r="H25" s="148"/>
      <c r="I25" s="88"/>
      <c r="J25" s="87"/>
      <c r="K25" s="88"/>
      <c r="L25" s="87"/>
      <c r="M25" s="87"/>
      <c r="N25" s="229"/>
    </row>
    <row r="26" spans="1:15" ht="13.15" x14ac:dyDescent="0.4">
      <c r="A26" s="9"/>
      <c r="B26" s="9" t="s">
        <v>65</v>
      </c>
      <c r="C26" s="50">
        <v>21060</v>
      </c>
      <c r="D26" s="50">
        <v>-8503.24</v>
      </c>
      <c r="E26" s="50">
        <f>E7-E24</f>
        <v>3906</v>
      </c>
      <c r="F26" s="50">
        <v>2410.13</v>
      </c>
      <c r="G26" s="50">
        <v>10329.09</v>
      </c>
      <c r="H26" s="174">
        <f>H7-H24</f>
        <v>9415.7900000000081</v>
      </c>
      <c r="I26" s="86">
        <f>I7-I24</f>
        <v>13627.959999999992</v>
      </c>
      <c r="J26" s="86">
        <f>J7-J24</f>
        <v>-4343.2799999999988</v>
      </c>
      <c r="K26" s="86">
        <f>K7-K24</f>
        <v>5372.7600000000093</v>
      </c>
      <c r="L26" s="85">
        <f>L7-L24</f>
        <v>1522.7600000000093</v>
      </c>
      <c r="M26" s="85"/>
      <c r="N26" s="229"/>
    </row>
    <row r="27" spans="1:15" x14ac:dyDescent="0.35">
      <c r="O27" s="307"/>
    </row>
    <row r="28" spans="1:15" ht="13.15" x14ac:dyDescent="0.4">
      <c r="A28" s="84" t="s">
        <v>165</v>
      </c>
      <c r="B28" s="84"/>
      <c r="O28" s="307"/>
    </row>
    <row r="29" spans="1:15" x14ac:dyDescent="0.35">
      <c r="A29" s="463" t="s">
        <v>164</v>
      </c>
      <c r="B29" s="463"/>
      <c r="O29" s="307"/>
    </row>
    <row r="30" spans="1:15" x14ac:dyDescent="0.35">
      <c r="A30" s="463" t="s">
        <v>163</v>
      </c>
      <c r="B30" s="463"/>
      <c r="O30" s="307"/>
    </row>
    <row r="31" spans="1:15" x14ac:dyDescent="0.35">
      <c r="A31" s="463" t="s">
        <v>162</v>
      </c>
      <c r="B31" s="463"/>
      <c r="O31" s="307"/>
    </row>
    <row r="32" spans="1:15" x14ac:dyDescent="0.35">
      <c r="A32" s="463" t="s">
        <v>161</v>
      </c>
      <c r="B32" s="463"/>
      <c r="O32" s="307"/>
    </row>
    <row r="33" spans="15:15" x14ac:dyDescent="0.35">
      <c r="O33" s="307"/>
    </row>
    <row r="34" spans="15:15" x14ac:dyDescent="0.35">
      <c r="O34" s="307"/>
    </row>
    <row r="35" spans="15:15" x14ac:dyDescent="0.35">
      <c r="O35" s="307"/>
    </row>
    <row r="36" spans="15:15" x14ac:dyDescent="0.35">
      <c r="O36" s="307"/>
    </row>
    <row r="37" spans="15:15" x14ac:dyDescent="0.35">
      <c r="O37" s="307"/>
    </row>
    <row r="38" spans="15:15" x14ac:dyDescent="0.35">
      <c r="O38" s="307"/>
    </row>
    <row r="39" spans="15:15" x14ac:dyDescent="0.35">
      <c r="O39" s="307"/>
    </row>
    <row r="40" spans="15:15" x14ac:dyDescent="0.35">
      <c r="O40" s="307"/>
    </row>
    <row r="41" spans="15:15" x14ac:dyDescent="0.35">
      <c r="O41" s="307"/>
    </row>
    <row r="42" spans="15:15" x14ac:dyDescent="0.35">
      <c r="O42" s="307"/>
    </row>
    <row r="43" spans="15:15" x14ac:dyDescent="0.35">
      <c r="O43" s="307"/>
    </row>
    <row r="44" spans="15:15" x14ac:dyDescent="0.35">
      <c r="O44" s="307"/>
    </row>
    <row r="45" spans="15:15" x14ac:dyDescent="0.35">
      <c r="O45" s="307"/>
    </row>
    <row r="46" spans="15:15" x14ac:dyDescent="0.35">
      <c r="O46" s="307"/>
    </row>
    <row r="47" spans="15:15" x14ac:dyDescent="0.35">
      <c r="O47" s="307"/>
    </row>
    <row r="48" spans="15:15" x14ac:dyDescent="0.35">
      <c r="O48" s="307"/>
    </row>
    <row r="49" spans="15:15" x14ac:dyDescent="0.35">
      <c r="O49" s="307"/>
    </row>
    <row r="50" spans="15:15" x14ac:dyDescent="0.35">
      <c r="O50" s="307"/>
    </row>
    <row r="51" spans="15:15" x14ac:dyDescent="0.35">
      <c r="O51" s="307"/>
    </row>
    <row r="52" spans="15:15" x14ac:dyDescent="0.35">
      <c r="O52" s="307"/>
    </row>
    <row r="53" spans="15:15" x14ac:dyDescent="0.35">
      <c r="O53" s="307"/>
    </row>
    <row r="54" spans="15:15" x14ac:dyDescent="0.35">
      <c r="O54" s="307"/>
    </row>
    <row r="55" spans="15:15" x14ac:dyDescent="0.35">
      <c r="O55" s="307"/>
    </row>
    <row r="56" spans="15:15" x14ac:dyDescent="0.35">
      <c r="O56" s="307"/>
    </row>
    <row r="57" spans="15:15" x14ac:dyDescent="0.35">
      <c r="O57" s="307"/>
    </row>
    <row r="58" spans="15:15" x14ac:dyDescent="0.35">
      <c r="O58" s="307"/>
    </row>
    <row r="59" spans="15:15" x14ac:dyDescent="0.35">
      <c r="O59" s="307"/>
    </row>
    <row r="60" spans="15:15" x14ac:dyDescent="0.35">
      <c r="O60" s="307"/>
    </row>
    <row r="61" spans="15:15" x14ac:dyDescent="0.35">
      <c r="O61" s="307"/>
    </row>
    <row r="62" spans="15:15" x14ac:dyDescent="0.35">
      <c r="O62" s="307"/>
    </row>
    <row r="63" spans="15:15" x14ac:dyDescent="0.35">
      <c r="O63" s="307"/>
    </row>
    <row r="64" spans="15:15" x14ac:dyDescent="0.35">
      <c r="O64" s="307"/>
    </row>
    <row r="65" spans="15:15" x14ac:dyDescent="0.35">
      <c r="O65" s="307"/>
    </row>
    <row r="66" spans="15:15" x14ac:dyDescent="0.35">
      <c r="O66" s="307"/>
    </row>
    <row r="67" spans="15:15" x14ac:dyDescent="0.35">
      <c r="O67" s="307"/>
    </row>
    <row r="68" spans="15:15" x14ac:dyDescent="0.35">
      <c r="O68" s="307"/>
    </row>
    <row r="69" spans="15:15" x14ac:dyDescent="0.35">
      <c r="O69" s="307"/>
    </row>
    <row r="70" spans="15:15" x14ac:dyDescent="0.35">
      <c r="O70" s="307"/>
    </row>
    <row r="71" spans="15:15" x14ac:dyDescent="0.35">
      <c r="O71" s="307"/>
    </row>
    <row r="72" spans="15:15" x14ac:dyDescent="0.35">
      <c r="O72" s="307"/>
    </row>
    <row r="73" spans="15:15" x14ac:dyDescent="0.35">
      <c r="O73" s="307"/>
    </row>
    <row r="74" spans="15:15" x14ac:dyDescent="0.35">
      <c r="O74" s="307"/>
    </row>
    <row r="75" spans="15:15" x14ac:dyDescent="0.35">
      <c r="O75" s="307"/>
    </row>
    <row r="76" spans="15:15" x14ac:dyDescent="0.35">
      <c r="O76" s="307"/>
    </row>
    <row r="77" spans="15:15" x14ac:dyDescent="0.35">
      <c r="O77" s="307"/>
    </row>
    <row r="78" spans="15:15" x14ac:dyDescent="0.35">
      <c r="O78" s="307"/>
    </row>
    <row r="79" spans="15:15" x14ac:dyDescent="0.35">
      <c r="O79" s="307"/>
    </row>
    <row r="80" spans="15:15" x14ac:dyDescent="0.35">
      <c r="O80" s="307"/>
    </row>
    <row r="81" spans="15:15" x14ac:dyDescent="0.35">
      <c r="O81" s="307"/>
    </row>
    <row r="82" spans="15:15" x14ac:dyDescent="0.35">
      <c r="O82" s="307"/>
    </row>
    <row r="83" spans="15:15" x14ac:dyDescent="0.35">
      <c r="O83" s="307"/>
    </row>
    <row r="84" spans="15:15" x14ac:dyDescent="0.35">
      <c r="O84" s="307"/>
    </row>
    <row r="85" spans="15:15" x14ac:dyDescent="0.35">
      <c r="O85" s="307"/>
    </row>
    <row r="86" spans="15:15" x14ac:dyDescent="0.35">
      <c r="O86" s="307"/>
    </row>
    <row r="87" spans="15:15" x14ac:dyDescent="0.35">
      <c r="O87" s="307"/>
    </row>
    <row r="88" spans="15:15" x14ac:dyDescent="0.35">
      <c r="O88" s="307"/>
    </row>
    <row r="89" spans="15:15" x14ac:dyDescent="0.35">
      <c r="O89" s="307"/>
    </row>
    <row r="90" spans="15:15" x14ac:dyDescent="0.35">
      <c r="O90" s="307"/>
    </row>
    <row r="91" spans="15:15" x14ac:dyDescent="0.35">
      <c r="O91" s="307"/>
    </row>
    <row r="92" spans="15:15" x14ac:dyDescent="0.35">
      <c r="O92" s="307"/>
    </row>
    <row r="93" spans="15:15" x14ac:dyDescent="0.35">
      <c r="O93" s="307"/>
    </row>
    <row r="94" spans="15:15" x14ac:dyDescent="0.35">
      <c r="O94" s="307"/>
    </row>
    <row r="95" spans="15:15" x14ac:dyDescent="0.35">
      <c r="O95" s="307"/>
    </row>
    <row r="96" spans="15:15" x14ac:dyDescent="0.35">
      <c r="O96" s="307"/>
    </row>
    <row r="97" spans="15:15" x14ac:dyDescent="0.35">
      <c r="O97" s="307"/>
    </row>
    <row r="98" spans="15:15" x14ac:dyDescent="0.35">
      <c r="O98" s="307"/>
    </row>
    <row r="99" spans="15:15" x14ac:dyDescent="0.35">
      <c r="O99" s="307"/>
    </row>
    <row r="100" spans="15:15" x14ac:dyDescent="0.35">
      <c r="O100" s="307"/>
    </row>
    <row r="101" spans="15:15" x14ac:dyDescent="0.35">
      <c r="O101" s="307"/>
    </row>
    <row r="102" spans="15:15" x14ac:dyDescent="0.35">
      <c r="O102" s="307"/>
    </row>
    <row r="103" spans="15:15" x14ac:dyDescent="0.35">
      <c r="O103" s="307"/>
    </row>
    <row r="104" spans="15:15" x14ac:dyDescent="0.35">
      <c r="O104" s="307"/>
    </row>
    <row r="105" spans="15:15" x14ac:dyDescent="0.35">
      <c r="O105" s="307"/>
    </row>
    <row r="106" spans="15:15" x14ac:dyDescent="0.35">
      <c r="O106" s="307"/>
    </row>
    <row r="107" spans="15:15" x14ac:dyDescent="0.35">
      <c r="O107" s="307"/>
    </row>
    <row r="108" spans="15:15" x14ac:dyDescent="0.35">
      <c r="O108" s="307"/>
    </row>
    <row r="109" spans="15:15" x14ac:dyDescent="0.35">
      <c r="O109" s="307"/>
    </row>
    <row r="110" spans="15:15" x14ac:dyDescent="0.35">
      <c r="O110" s="307"/>
    </row>
    <row r="111" spans="15:15" x14ac:dyDescent="0.35">
      <c r="O111" s="307"/>
    </row>
    <row r="112" spans="15:15" x14ac:dyDescent="0.35">
      <c r="O112" s="307"/>
    </row>
    <row r="113" spans="15:15" x14ac:dyDescent="0.35">
      <c r="O113" s="307"/>
    </row>
    <row r="114" spans="15:15" x14ac:dyDescent="0.35">
      <c r="O114" s="307"/>
    </row>
    <row r="115" spans="15:15" x14ac:dyDescent="0.35">
      <c r="O115" s="307"/>
    </row>
    <row r="116" spans="15:15" x14ac:dyDescent="0.35">
      <c r="O116" s="307"/>
    </row>
    <row r="117" spans="15:15" x14ac:dyDescent="0.35">
      <c r="O117" s="307"/>
    </row>
    <row r="118" spans="15:15" x14ac:dyDescent="0.35">
      <c r="O118" s="307"/>
    </row>
    <row r="119" spans="15:15" x14ac:dyDescent="0.35">
      <c r="O119" s="307"/>
    </row>
    <row r="120" spans="15:15" x14ac:dyDescent="0.35">
      <c r="O120" s="307"/>
    </row>
    <row r="121" spans="15:15" x14ac:dyDescent="0.35">
      <c r="O121" s="307"/>
    </row>
    <row r="122" spans="15:15" x14ac:dyDescent="0.35">
      <c r="O122" s="307"/>
    </row>
    <row r="123" spans="15:15" x14ac:dyDescent="0.35">
      <c r="O123" s="307"/>
    </row>
    <row r="124" spans="15:15" x14ac:dyDescent="0.35">
      <c r="O124" s="307"/>
    </row>
    <row r="125" spans="15:15" x14ac:dyDescent="0.35">
      <c r="O125" s="307"/>
    </row>
    <row r="126" spans="15:15" x14ac:dyDescent="0.35">
      <c r="O126" s="307"/>
    </row>
    <row r="127" spans="15:15" x14ac:dyDescent="0.35">
      <c r="O127" s="307"/>
    </row>
    <row r="128" spans="15:15" x14ac:dyDescent="0.35">
      <c r="O128" s="307"/>
    </row>
    <row r="129" spans="15:15" x14ac:dyDescent="0.35">
      <c r="O129" s="307"/>
    </row>
    <row r="130" spans="15:15" x14ac:dyDescent="0.35">
      <c r="O130" s="307"/>
    </row>
    <row r="131" spans="15:15" x14ac:dyDescent="0.35">
      <c r="O131" s="307"/>
    </row>
    <row r="132" spans="15:15" x14ac:dyDescent="0.35">
      <c r="O132" s="307"/>
    </row>
    <row r="133" spans="15:15" x14ac:dyDescent="0.35">
      <c r="O133" s="307"/>
    </row>
    <row r="134" spans="15:15" x14ac:dyDescent="0.35">
      <c r="O134" s="307"/>
    </row>
    <row r="135" spans="15:15" x14ac:dyDescent="0.35">
      <c r="O135" s="307"/>
    </row>
    <row r="136" spans="15:15" x14ac:dyDescent="0.35">
      <c r="O136" s="307"/>
    </row>
    <row r="137" spans="15:15" x14ac:dyDescent="0.35">
      <c r="O137" s="307"/>
    </row>
    <row r="138" spans="15:15" x14ac:dyDescent="0.35">
      <c r="O138" s="307"/>
    </row>
    <row r="139" spans="15:15" x14ac:dyDescent="0.35">
      <c r="O139" s="307"/>
    </row>
    <row r="140" spans="15:15" x14ac:dyDescent="0.35">
      <c r="O140" s="307"/>
    </row>
    <row r="141" spans="15:15" x14ac:dyDescent="0.35">
      <c r="O141" s="307"/>
    </row>
    <row r="142" spans="15:15" x14ac:dyDescent="0.35">
      <c r="O142" s="307"/>
    </row>
    <row r="143" spans="15:15" x14ac:dyDescent="0.35">
      <c r="O143" s="307"/>
    </row>
    <row r="144" spans="15:15" x14ac:dyDescent="0.35">
      <c r="O144" s="307"/>
    </row>
    <row r="145" spans="15:15" x14ac:dyDescent="0.35">
      <c r="O145" s="307"/>
    </row>
    <row r="146" spans="15:15" x14ac:dyDescent="0.35">
      <c r="O146" s="307"/>
    </row>
    <row r="147" spans="15:15" x14ac:dyDescent="0.35">
      <c r="O147" s="307"/>
    </row>
    <row r="148" spans="15:15" x14ac:dyDescent="0.35">
      <c r="O148" s="307"/>
    </row>
    <row r="149" spans="15:15" x14ac:dyDescent="0.35">
      <c r="O149" s="307"/>
    </row>
    <row r="150" spans="15:15" x14ac:dyDescent="0.35">
      <c r="O150" s="307"/>
    </row>
    <row r="151" spans="15:15" x14ac:dyDescent="0.35">
      <c r="O151" s="307"/>
    </row>
    <row r="152" spans="15:15" x14ac:dyDescent="0.35">
      <c r="O152" s="307"/>
    </row>
    <row r="153" spans="15:15" x14ac:dyDescent="0.35">
      <c r="O153" s="307"/>
    </row>
    <row r="154" spans="15:15" x14ac:dyDescent="0.35">
      <c r="O154" s="307"/>
    </row>
    <row r="155" spans="15:15" x14ac:dyDescent="0.35">
      <c r="O155" s="307"/>
    </row>
    <row r="156" spans="15:15" x14ac:dyDescent="0.35">
      <c r="O156" s="307"/>
    </row>
    <row r="157" spans="15:15" x14ac:dyDescent="0.35">
      <c r="O157" s="307"/>
    </row>
    <row r="158" spans="15:15" x14ac:dyDescent="0.35">
      <c r="O158" s="307"/>
    </row>
    <row r="159" spans="15:15" x14ac:dyDescent="0.35">
      <c r="O159" s="307"/>
    </row>
    <row r="160" spans="15:15" x14ac:dyDescent="0.35">
      <c r="O160" s="307"/>
    </row>
    <row r="161" spans="15:15" x14ac:dyDescent="0.35">
      <c r="O161" s="307"/>
    </row>
    <row r="162" spans="15:15" x14ac:dyDescent="0.35">
      <c r="O162" s="307"/>
    </row>
    <row r="163" spans="15:15" x14ac:dyDescent="0.35">
      <c r="O163" s="307"/>
    </row>
    <row r="164" spans="15:15" x14ac:dyDescent="0.35">
      <c r="O164" s="307"/>
    </row>
    <row r="165" spans="15:15" x14ac:dyDescent="0.35">
      <c r="O165" s="307"/>
    </row>
    <row r="166" spans="15:15" x14ac:dyDescent="0.35">
      <c r="O166" s="307"/>
    </row>
    <row r="167" spans="15:15" x14ac:dyDescent="0.35">
      <c r="O167" s="307"/>
    </row>
    <row r="168" spans="15:15" x14ac:dyDescent="0.35">
      <c r="O168" s="307"/>
    </row>
    <row r="169" spans="15:15" x14ac:dyDescent="0.35">
      <c r="O169" s="307"/>
    </row>
    <row r="170" spans="15:15" x14ac:dyDescent="0.35">
      <c r="O170" s="307"/>
    </row>
    <row r="171" spans="15:15" x14ac:dyDescent="0.35">
      <c r="O171" s="307"/>
    </row>
    <row r="172" spans="15:15" x14ac:dyDescent="0.35">
      <c r="O172" s="307"/>
    </row>
    <row r="173" spans="15:15" x14ac:dyDescent="0.35">
      <c r="O173" s="307"/>
    </row>
    <row r="174" spans="15:15" x14ac:dyDescent="0.35">
      <c r="O174" s="307"/>
    </row>
    <row r="175" spans="15:15" x14ac:dyDescent="0.35">
      <c r="O175" s="307"/>
    </row>
    <row r="176" spans="15:15" x14ac:dyDescent="0.35">
      <c r="O176" s="307"/>
    </row>
    <row r="177" spans="15:15" x14ac:dyDescent="0.35">
      <c r="O177" s="307"/>
    </row>
    <row r="178" spans="15:15" x14ac:dyDescent="0.35">
      <c r="O178" s="307"/>
    </row>
    <row r="179" spans="15:15" x14ac:dyDescent="0.35">
      <c r="O179" s="307"/>
    </row>
    <row r="180" spans="15:15" x14ac:dyDescent="0.35">
      <c r="O180" s="307"/>
    </row>
    <row r="181" spans="15:15" x14ac:dyDescent="0.35">
      <c r="O181" s="307"/>
    </row>
    <row r="182" spans="15:15" x14ac:dyDescent="0.35">
      <c r="O182" s="307"/>
    </row>
    <row r="183" spans="15:15" x14ac:dyDescent="0.35">
      <c r="O183" s="307"/>
    </row>
    <row r="184" spans="15:15" x14ac:dyDescent="0.35">
      <c r="O184" s="307"/>
    </row>
    <row r="185" spans="15:15" x14ac:dyDescent="0.35">
      <c r="O185" s="307"/>
    </row>
    <row r="186" spans="15:15" x14ac:dyDescent="0.35">
      <c r="O186" s="307"/>
    </row>
    <row r="187" spans="15:15" x14ac:dyDescent="0.35">
      <c r="O187" s="307"/>
    </row>
    <row r="188" spans="15:15" x14ac:dyDescent="0.35">
      <c r="O188" s="307"/>
    </row>
    <row r="189" spans="15:15" x14ac:dyDescent="0.35">
      <c r="O189" s="307"/>
    </row>
    <row r="190" spans="15:15" x14ac:dyDescent="0.35">
      <c r="O190" s="307"/>
    </row>
    <row r="191" spans="15:15" x14ac:dyDescent="0.35">
      <c r="O191" s="307"/>
    </row>
    <row r="192" spans="15:15" x14ac:dyDescent="0.35">
      <c r="O192" s="307"/>
    </row>
    <row r="193" spans="15:15" x14ac:dyDescent="0.35">
      <c r="O193" s="307"/>
    </row>
    <row r="194" spans="15:15" x14ac:dyDescent="0.35">
      <c r="O194" s="307"/>
    </row>
    <row r="195" spans="15:15" x14ac:dyDescent="0.35">
      <c r="O195" s="307"/>
    </row>
    <row r="196" spans="15:15" x14ac:dyDescent="0.35">
      <c r="O196" s="307"/>
    </row>
    <row r="197" spans="15:15" x14ac:dyDescent="0.35">
      <c r="O197" s="307"/>
    </row>
    <row r="198" spans="15:15" x14ac:dyDescent="0.35">
      <c r="O198" s="307"/>
    </row>
    <row r="199" spans="15:15" x14ac:dyDescent="0.35">
      <c r="O199" s="307"/>
    </row>
    <row r="200" spans="15:15" x14ac:dyDescent="0.35">
      <c r="O200" s="307"/>
    </row>
    <row r="201" spans="15:15" x14ac:dyDescent="0.35">
      <c r="O201" s="307"/>
    </row>
    <row r="202" spans="15:15" x14ac:dyDescent="0.35">
      <c r="O202" s="307"/>
    </row>
    <row r="203" spans="15:15" x14ac:dyDescent="0.35">
      <c r="O203" s="307"/>
    </row>
    <row r="204" spans="15:15" x14ac:dyDescent="0.35">
      <c r="O204" s="307"/>
    </row>
    <row r="205" spans="15:15" x14ac:dyDescent="0.35">
      <c r="O205" s="307"/>
    </row>
    <row r="206" spans="15:15" x14ac:dyDescent="0.35">
      <c r="O206" s="307"/>
    </row>
    <row r="207" spans="15:15" x14ac:dyDescent="0.35">
      <c r="O207" s="307"/>
    </row>
    <row r="208" spans="15:15" x14ac:dyDescent="0.35">
      <c r="O208" s="307"/>
    </row>
    <row r="209" spans="15:15" x14ac:dyDescent="0.35">
      <c r="O209" s="307"/>
    </row>
    <row r="210" spans="15:15" x14ac:dyDescent="0.35">
      <c r="O210" s="307"/>
    </row>
    <row r="211" spans="15:15" x14ac:dyDescent="0.35">
      <c r="O211" s="307"/>
    </row>
    <row r="212" spans="15:15" x14ac:dyDescent="0.35">
      <c r="O212" s="307"/>
    </row>
    <row r="213" spans="15:15" x14ac:dyDescent="0.35">
      <c r="O213" s="307"/>
    </row>
    <row r="214" spans="15:15" x14ac:dyDescent="0.35">
      <c r="O214" s="307"/>
    </row>
    <row r="215" spans="15:15" x14ac:dyDescent="0.35">
      <c r="O215" s="307"/>
    </row>
    <row r="216" spans="15:15" x14ac:dyDescent="0.35">
      <c r="O216" s="307"/>
    </row>
    <row r="217" spans="15:15" x14ac:dyDescent="0.35">
      <c r="O217" s="307"/>
    </row>
    <row r="218" spans="15:15" x14ac:dyDescent="0.35">
      <c r="O218" s="307"/>
    </row>
    <row r="219" spans="15:15" x14ac:dyDescent="0.35">
      <c r="O219" s="307"/>
    </row>
    <row r="220" spans="15:15" x14ac:dyDescent="0.35">
      <c r="O220" s="307"/>
    </row>
    <row r="221" spans="15:15" x14ac:dyDescent="0.35">
      <c r="O221" s="307"/>
    </row>
    <row r="222" spans="15:15" x14ac:dyDescent="0.35">
      <c r="O222" s="307"/>
    </row>
    <row r="223" spans="15:15" x14ac:dyDescent="0.35">
      <c r="O223" s="307"/>
    </row>
    <row r="224" spans="15:15" x14ac:dyDescent="0.35">
      <c r="O224" s="307"/>
    </row>
    <row r="225" spans="15:15" x14ac:dyDescent="0.35">
      <c r="O225" s="307"/>
    </row>
    <row r="226" spans="15:15" x14ac:dyDescent="0.35">
      <c r="O226" s="307"/>
    </row>
    <row r="227" spans="15:15" x14ac:dyDescent="0.35">
      <c r="O227" s="307"/>
    </row>
    <row r="228" spans="15:15" x14ac:dyDescent="0.35">
      <c r="O228" s="307"/>
    </row>
    <row r="229" spans="15:15" x14ac:dyDescent="0.35">
      <c r="O229" s="307"/>
    </row>
    <row r="230" spans="15:15" x14ac:dyDescent="0.35">
      <c r="O230" s="307"/>
    </row>
    <row r="231" spans="15:15" x14ac:dyDescent="0.35">
      <c r="O231" s="307"/>
    </row>
    <row r="232" spans="15:15" x14ac:dyDescent="0.35">
      <c r="O232" s="307"/>
    </row>
    <row r="233" spans="15:15" x14ac:dyDescent="0.35">
      <c r="O233" s="307"/>
    </row>
    <row r="234" spans="15:15" x14ac:dyDescent="0.35">
      <c r="O234" s="307"/>
    </row>
    <row r="235" spans="15:15" x14ac:dyDescent="0.35">
      <c r="O235" s="307"/>
    </row>
    <row r="236" spans="15:15" x14ac:dyDescent="0.35">
      <c r="O236" s="307"/>
    </row>
    <row r="237" spans="15:15" x14ac:dyDescent="0.35">
      <c r="O237" s="307"/>
    </row>
    <row r="238" spans="15:15" x14ac:dyDescent="0.35">
      <c r="O238" s="307"/>
    </row>
    <row r="239" spans="15:15" x14ac:dyDescent="0.35">
      <c r="O239" s="307"/>
    </row>
    <row r="240" spans="15:15" x14ac:dyDescent="0.35">
      <c r="O240" s="307"/>
    </row>
    <row r="241" spans="15:15" x14ac:dyDescent="0.35">
      <c r="O241" s="307"/>
    </row>
    <row r="242" spans="15:15" x14ac:dyDescent="0.35">
      <c r="O242" s="307"/>
    </row>
    <row r="243" spans="15:15" x14ac:dyDescent="0.35">
      <c r="O243" s="307"/>
    </row>
    <row r="244" spans="15:15" x14ac:dyDescent="0.35">
      <c r="O244" s="307"/>
    </row>
    <row r="245" spans="15:15" x14ac:dyDescent="0.35">
      <c r="O245" s="307"/>
    </row>
    <row r="246" spans="15:15" x14ac:dyDescent="0.35">
      <c r="O246" s="307"/>
    </row>
    <row r="247" spans="15:15" x14ac:dyDescent="0.35">
      <c r="O247" s="307"/>
    </row>
    <row r="248" spans="15:15" x14ac:dyDescent="0.35">
      <c r="O248" s="307"/>
    </row>
    <row r="249" spans="15:15" x14ac:dyDescent="0.35">
      <c r="O249" s="307"/>
    </row>
    <row r="250" spans="15:15" x14ac:dyDescent="0.35">
      <c r="O250" s="307"/>
    </row>
    <row r="251" spans="15:15" x14ac:dyDescent="0.35">
      <c r="O251" s="307"/>
    </row>
    <row r="252" spans="15:15" x14ac:dyDescent="0.35">
      <c r="O252" s="307"/>
    </row>
    <row r="253" spans="15:15" x14ac:dyDescent="0.35">
      <c r="O253" s="307"/>
    </row>
    <row r="254" spans="15:15" x14ac:dyDescent="0.35">
      <c r="O254" s="307"/>
    </row>
    <row r="255" spans="15:15" x14ac:dyDescent="0.35">
      <c r="O255" s="307"/>
    </row>
    <row r="256" spans="15:15" x14ac:dyDescent="0.35">
      <c r="O256" s="307"/>
    </row>
    <row r="257" spans="15:15" x14ac:dyDescent="0.35">
      <c r="O257" s="307"/>
    </row>
    <row r="258" spans="15:15" x14ac:dyDescent="0.35">
      <c r="O258" s="307"/>
    </row>
    <row r="259" spans="15:15" x14ac:dyDescent="0.35">
      <c r="O259" s="307"/>
    </row>
    <row r="260" spans="15:15" x14ac:dyDescent="0.35">
      <c r="O260" s="307"/>
    </row>
    <row r="261" spans="15:15" x14ac:dyDescent="0.35">
      <c r="O261" s="307"/>
    </row>
    <row r="262" spans="15:15" x14ac:dyDescent="0.35">
      <c r="O262" s="307"/>
    </row>
    <row r="263" spans="15:15" x14ac:dyDescent="0.35">
      <c r="O263" s="307"/>
    </row>
    <row r="264" spans="15:15" x14ac:dyDescent="0.35">
      <c r="O264" s="307"/>
    </row>
    <row r="265" spans="15:15" x14ac:dyDescent="0.35">
      <c r="O265" s="307"/>
    </row>
    <row r="266" spans="15:15" x14ac:dyDescent="0.35">
      <c r="O266" s="307"/>
    </row>
    <row r="267" spans="15:15" x14ac:dyDescent="0.35">
      <c r="O267" s="307"/>
    </row>
    <row r="268" spans="15:15" x14ac:dyDescent="0.35">
      <c r="O268" s="307"/>
    </row>
    <row r="269" spans="15:15" x14ac:dyDescent="0.35">
      <c r="O269" s="307"/>
    </row>
    <row r="270" spans="15:15" x14ac:dyDescent="0.35">
      <c r="O270" s="307"/>
    </row>
    <row r="271" spans="15:15" x14ac:dyDescent="0.35">
      <c r="O271" s="307"/>
    </row>
    <row r="272" spans="15:15" x14ac:dyDescent="0.35">
      <c r="O272" s="307"/>
    </row>
    <row r="273" spans="15:15" x14ac:dyDescent="0.35">
      <c r="O273" s="307"/>
    </row>
    <row r="274" spans="15:15" x14ac:dyDescent="0.35">
      <c r="O274" s="307"/>
    </row>
    <row r="275" spans="15:15" x14ac:dyDescent="0.35">
      <c r="O275" s="307"/>
    </row>
    <row r="276" spans="15:15" x14ac:dyDescent="0.35">
      <c r="O276" s="307"/>
    </row>
    <row r="277" spans="15:15" x14ac:dyDescent="0.35">
      <c r="O277" s="307"/>
    </row>
    <row r="278" spans="15:15" x14ac:dyDescent="0.35">
      <c r="O278" s="307"/>
    </row>
    <row r="279" spans="15:15" x14ac:dyDescent="0.35">
      <c r="O279" s="307"/>
    </row>
    <row r="280" spans="15:15" x14ac:dyDescent="0.35">
      <c r="O280" s="307"/>
    </row>
    <row r="281" spans="15:15" x14ac:dyDescent="0.35">
      <c r="O281" s="307"/>
    </row>
    <row r="282" spans="15:15" x14ac:dyDescent="0.35">
      <c r="O282" s="307"/>
    </row>
    <row r="283" spans="15:15" x14ac:dyDescent="0.35">
      <c r="O283" s="307"/>
    </row>
    <row r="284" spans="15:15" x14ac:dyDescent="0.35">
      <c r="O284" s="307"/>
    </row>
    <row r="285" spans="15:15" x14ac:dyDescent="0.35">
      <c r="O285" s="307"/>
    </row>
    <row r="286" spans="15:15" x14ac:dyDescent="0.35">
      <c r="O286" s="307"/>
    </row>
    <row r="287" spans="15:15" x14ac:dyDescent="0.35">
      <c r="O287" s="307"/>
    </row>
    <row r="288" spans="15:15" x14ac:dyDescent="0.35">
      <c r="O288" s="307"/>
    </row>
    <row r="289" spans="15:15" x14ac:dyDescent="0.35">
      <c r="O289" s="307"/>
    </row>
    <row r="290" spans="15:15" x14ac:dyDescent="0.35">
      <c r="O290" s="307"/>
    </row>
    <row r="291" spans="15:15" x14ac:dyDescent="0.35">
      <c r="O291" s="307"/>
    </row>
    <row r="292" spans="15:15" x14ac:dyDescent="0.35">
      <c r="O292" s="307"/>
    </row>
    <row r="293" spans="15:15" x14ac:dyDescent="0.35">
      <c r="O293" s="307"/>
    </row>
    <row r="294" spans="15:15" x14ac:dyDescent="0.35">
      <c r="O294" s="307"/>
    </row>
    <row r="295" spans="15:15" x14ac:dyDescent="0.35">
      <c r="O295" s="307"/>
    </row>
    <row r="296" spans="15:15" x14ac:dyDescent="0.35">
      <c r="O296" s="307"/>
    </row>
    <row r="297" spans="15:15" x14ac:dyDescent="0.35">
      <c r="O297" s="307"/>
    </row>
    <row r="298" spans="15:15" x14ac:dyDescent="0.35">
      <c r="O298" s="307"/>
    </row>
    <row r="299" spans="15:15" x14ac:dyDescent="0.35">
      <c r="O299" s="307"/>
    </row>
    <row r="300" spans="15:15" x14ac:dyDescent="0.35">
      <c r="O300" s="307"/>
    </row>
    <row r="301" spans="15:15" x14ac:dyDescent="0.35">
      <c r="O301" s="307"/>
    </row>
    <row r="302" spans="15:15" x14ac:dyDescent="0.35">
      <c r="O302" s="307"/>
    </row>
    <row r="303" spans="15:15" x14ac:dyDescent="0.35">
      <c r="O303" s="307"/>
    </row>
    <row r="304" spans="15:15" x14ac:dyDescent="0.35">
      <c r="O304" s="307"/>
    </row>
    <row r="305" spans="15:15" x14ac:dyDescent="0.35">
      <c r="O305" s="307"/>
    </row>
    <row r="306" spans="15:15" x14ac:dyDescent="0.35">
      <c r="O306" s="307"/>
    </row>
    <row r="307" spans="15:15" x14ac:dyDescent="0.35">
      <c r="O307" s="307"/>
    </row>
    <row r="308" spans="15:15" x14ac:dyDescent="0.35">
      <c r="O308" s="307"/>
    </row>
    <row r="309" spans="15:15" x14ac:dyDescent="0.35">
      <c r="O309" s="307"/>
    </row>
    <row r="310" spans="15:15" x14ac:dyDescent="0.35">
      <c r="O310" s="307"/>
    </row>
    <row r="311" spans="15:15" x14ac:dyDescent="0.35">
      <c r="O311" s="307"/>
    </row>
    <row r="312" spans="15:15" x14ac:dyDescent="0.35">
      <c r="O312" s="307"/>
    </row>
    <row r="313" spans="15:15" x14ac:dyDescent="0.35">
      <c r="O313" s="307"/>
    </row>
    <row r="314" spans="15:15" x14ac:dyDescent="0.35">
      <c r="O314" s="307"/>
    </row>
    <row r="315" spans="15:15" x14ac:dyDescent="0.35">
      <c r="O315" s="307"/>
    </row>
    <row r="316" spans="15:15" x14ac:dyDescent="0.35">
      <c r="O316" s="307"/>
    </row>
    <row r="317" spans="15:15" x14ac:dyDescent="0.35">
      <c r="O317" s="307"/>
    </row>
    <row r="318" spans="15:15" x14ac:dyDescent="0.35">
      <c r="O318" s="307"/>
    </row>
    <row r="319" spans="15:15" x14ac:dyDescent="0.35">
      <c r="O319" s="307"/>
    </row>
    <row r="320" spans="15:15" x14ac:dyDescent="0.35">
      <c r="O320" s="307"/>
    </row>
    <row r="321" spans="15:15" x14ac:dyDescent="0.35">
      <c r="O321" s="307"/>
    </row>
    <row r="322" spans="15:15" x14ac:dyDescent="0.35">
      <c r="O322" s="307"/>
    </row>
    <row r="323" spans="15:15" x14ac:dyDescent="0.35">
      <c r="O323" s="307"/>
    </row>
    <row r="324" spans="15:15" x14ac:dyDescent="0.35">
      <c r="O324" s="307"/>
    </row>
    <row r="325" spans="15:15" x14ac:dyDescent="0.35">
      <c r="O325" s="307"/>
    </row>
    <row r="326" spans="15:15" x14ac:dyDescent="0.35">
      <c r="O326" s="307"/>
    </row>
    <row r="327" spans="15:15" x14ac:dyDescent="0.35">
      <c r="O327" s="307"/>
    </row>
    <row r="328" spans="15:15" x14ac:dyDescent="0.35">
      <c r="O328" s="307"/>
    </row>
    <row r="329" spans="15:15" x14ac:dyDescent="0.35">
      <c r="O329" s="307"/>
    </row>
    <row r="330" spans="15:15" x14ac:dyDescent="0.35">
      <c r="O330" s="307"/>
    </row>
    <row r="331" spans="15:15" x14ac:dyDescent="0.35">
      <c r="O331" s="307"/>
    </row>
    <row r="332" spans="15:15" x14ac:dyDescent="0.35">
      <c r="O332" s="307"/>
    </row>
    <row r="333" spans="15:15" x14ac:dyDescent="0.35">
      <c r="O333" s="307"/>
    </row>
    <row r="334" spans="15:15" x14ac:dyDescent="0.35">
      <c r="O334" s="307"/>
    </row>
    <row r="335" spans="15:15" x14ac:dyDescent="0.35">
      <c r="O335" s="307"/>
    </row>
    <row r="336" spans="15:15" x14ac:dyDescent="0.35">
      <c r="O336" s="307"/>
    </row>
    <row r="337" spans="15:15" x14ac:dyDescent="0.35">
      <c r="O337" s="307"/>
    </row>
    <row r="338" spans="15:15" x14ac:dyDescent="0.35">
      <c r="O338" s="307"/>
    </row>
    <row r="339" spans="15:15" x14ac:dyDescent="0.35">
      <c r="O339" s="307"/>
    </row>
    <row r="340" spans="15:15" x14ac:dyDescent="0.35">
      <c r="O340" s="307"/>
    </row>
    <row r="341" spans="15:15" x14ac:dyDescent="0.35">
      <c r="O341" s="307"/>
    </row>
    <row r="342" spans="15:15" x14ac:dyDescent="0.35">
      <c r="O342" s="307"/>
    </row>
    <row r="343" spans="15:15" x14ac:dyDescent="0.35">
      <c r="O343" s="307"/>
    </row>
    <row r="344" spans="15:15" x14ac:dyDescent="0.35">
      <c r="O344" s="307"/>
    </row>
    <row r="345" spans="15:15" x14ac:dyDescent="0.35">
      <c r="O345" s="307"/>
    </row>
    <row r="346" spans="15:15" x14ac:dyDescent="0.35">
      <c r="O346" s="307"/>
    </row>
    <row r="347" spans="15:15" x14ac:dyDescent="0.35">
      <c r="O347" s="307"/>
    </row>
    <row r="348" spans="15:15" x14ac:dyDescent="0.35">
      <c r="O348" s="307"/>
    </row>
    <row r="349" spans="15:15" x14ac:dyDescent="0.35">
      <c r="O349" s="307"/>
    </row>
    <row r="350" spans="15:15" x14ac:dyDescent="0.35">
      <c r="O350" s="307"/>
    </row>
    <row r="351" spans="15:15" x14ac:dyDescent="0.35">
      <c r="O351" s="307"/>
    </row>
    <row r="352" spans="15:15" x14ac:dyDescent="0.35">
      <c r="O352" s="307"/>
    </row>
    <row r="353" spans="15:15" x14ac:dyDescent="0.35">
      <c r="O353" s="307"/>
    </row>
    <row r="354" spans="15:15" x14ac:dyDescent="0.35">
      <c r="O354" s="307"/>
    </row>
    <row r="355" spans="15:15" x14ac:dyDescent="0.35">
      <c r="O355" s="307"/>
    </row>
    <row r="356" spans="15:15" x14ac:dyDescent="0.35">
      <c r="O356" s="307"/>
    </row>
    <row r="357" spans="15:15" x14ac:dyDescent="0.35">
      <c r="O357" s="307"/>
    </row>
    <row r="358" spans="15:15" x14ac:dyDescent="0.35">
      <c r="O358" s="307"/>
    </row>
    <row r="359" spans="15:15" x14ac:dyDescent="0.35">
      <c r="O359" s="307"/>
    </row>
    <row r="360" spans="15:15" x14ac:dyDescent="0.35">
      <c r="O360" s="307"/>
    </row>
    <row r="361" spans="15:15" x14ac:dyDescent="0.35">
      <c r="O361" s="307"/>
    </row>
    <row r="362" spans="15:15" x14ac:dyDescent="0.35">
      <c r="O362" s="307"/>
    </row>
    <row r="363" spans="15:15" x14ac:dyDescent="0.35">
      <c r="O363" s="307"/>
    </row>
    <row r="364" spans="15:15" x14ac:dyDescent="0.35">
      <c r="O364" s="307"/>
    </row>
    <row r="365" spans="15:15" x14ac:dyDescent="0.35">
      <c r="O365" s="307"/>
    </row>
    <row r="366" spans="15:15" x14ac:dyDescent="0.35">
      <c r="O366" s="307"/>
    </row>
    <row r="367" spans="15:15" x14ac:dyDescent="0.35">
      <c r="O367" s="307"/>
    </row>
    <row r="368" spans="15:15" x14ac:dyDescent="0.35">
      <c r="O368" s="307"/>
    </row>
    <row r="369" spans="15:15" x14ac:dyDescent="0.35">
      <c r="O369" s="307"/>
    </row>
    <row r="370" spans="15:15" x14ac:dyDescent="0.35">
      <c r="O370" s="307"/>
    </row>
    <row r="371" spans="15:15" x14ac:dyDescent="0.35">
      <c r="O371" s="307"/>
    </row>
    <row r="372" spans="15:15" x14ac:dyDescent="0.35">
      <c r="O372" s="307"/>
    </row>
    <row r="373" spans="15:15" x14ac:dyDescent="0.35">
      <c r="O373" s="307"/>
    </row>
    <row r="374" spans="15:15" x14ac:dyDescent="0.35">
      <c r="O374" s="307"/>
    </row>
    <row r="375" spans="15:15" x14ac:dyDescent="0.35">
      <c r="O375" s="307"/>
    </row>
    <row r="376" spans="15:15" x14ac:dyDescent="0.35">
      <c r="O376" s="307"/>
    </row>
    <row r="377" spans="15:15" x14ac:dyDescent="0.35">
      <c r="O377" s="307"/>
    </row>
    <row r="378" spans="15:15" x14ac:dyDescent="0.35">
      <c r="O378" s="307"/>
    </row>
    <row r="379" spans="15:15" x14ac:dyDescent="0.35">
      <c r="O379" s="307"/>
    </row>
    <row r="380" spans="15:15" x14ac:dyDescent="0.35">
      <c r="O380" s="307"/>
    </row>
    <row r="381" spans="15:15" x14ac:dyDescent="0.35">
      <c r="O381" s="307"/>
    </row>
    <row r="382" spans="15:15" x14ac:dyDescent="0.35">
      <c r="O382" s="307"/>
    </row>
    <row r="383" spans="15:15" x14ac:dyDescent="0.35">
      <c r="O383" s="307"/>
    </row>
    <row r="384" spans="15:15" x14ac:dyDescent="0.35">
      <c r="O384" s="307"/>
    </row>
    <row r="385" spans="15:15" x14ac:dyDescent="0.35">
      <c r="O385" s="307"/>
    </row>
    <row r="386" spans="15:15" x14ac:dyDescent="0.35">
      <c r="O386" s="307"/>
    </row>
    <row r="387" spans="15:15" x14ac:dyDescent="0.35">
      <c r="O387" s="307"/>
    </row>
    <row r="388" spans="15:15" x14ac:dyDescent="0.35">
      <c r="O388" s="307"/>
    </row>
    <row r="389" spans="15:15" x14ac:dyDescent="0.35">
      <c r="O389" s="307"/>
    </row>
    <row r="390" spans="15:15" x14ac:dyDescent="0.35">
      <c r="O390" s="307"/>
    </row>
    <row r="391" spans="15:15" x14ac:dyDescent="0.35">
      <c r="O391" s="307"/>
    </row>
    <row r="392" spans="15:15" x14ac:dyDescent="0.35">
      <c r="O392" s="307"/>
    </row>
    <row r="393" spans="15:15" x14ac:dyDescent="0.35">
      <c r="O393" s="307"/>
    </row>
    <row r="394" spans="15:15" x14ac:dyDescent="0.35">
      <c r="O394" s="307"/>
    </row>
    <row r="395" spans="15:15" x14ac:dyDescent="0.35">
      <c r="O395" s="307"/>
    </row>
    <row r="396" spans="15:15" x14ac:dyDescent="0.35">
      <c r="O396" s="307"/>
    </row>
    <row r="397" spans="15:15" x14ac:dyDescent="0.35">
      <c r="O397" s="307"/>
    </row>
    <row r="398" spans="15:15" x14ac:dyDescent="0.35">
      <c r="O398" s="307"/>
    </row>
    <row r="399" spans="15:15" x14ac:dyDescent="0.35">
      <c r="O399" s="307"/>
    </row>
    <row r="400" spans="15:15" x14ac:dyDescent="0.35">
      <c r="O400" s="307"/>
    </row>
    <row r="401" spans="15:15" x14ac:dyDescent="0.35">
      <c r="O401" s="307"/>
    </row>
    <row r="402" spans="15:15" x14ac:dyDescent="0.35">
      <c r="O402" s="307"/>
    </row>
    <row r="403" spans="15:15" x14ac:dyDescent="0.35">
      <c r="O403" s="307"/>
    </row>
    <row r="404" spans="15:15" x14ac:dyDescent="0.35">
      <c r="O404" s="307"/>
    </row>
    <row r="405" spans="15:15" x14ac:dyDescent="0.35">
      <c r="O405" s="307"/>
    </row>
    <row r="406" spans="15:15" x14ac:dyDescent="0.35">
      <c r="O406" s="307"/>
    </row>
    <row r="407" spans="15:15" x14ac:dyDescent="0.35">
      <c r="O407" s="307"/>
    </row>
    <row r="408" spans="15:15" x14ac:dyDescent="0.35">
      <c r="O408" s="307"/>
    </row>
    <row r="409" spans="15:15" x14ac:dyDescent="0.35">
      <c r="O409" s="307"/>
    </row>
    <row r="410" spans="15:15" x14ac:dyDescent="0.35">
      <c r="O410" s="307"/>
    </row>
    <row r="411" spans="15:15" x14ac:dyDescent="0.35">
      <c r="O411" s="307"/>
    </row>
    <row r="412" spans="15:15" x14ac:dyDescent="0.35">
      <c r="O412" s="307"/>
    </row>
    <row r="413" spans="15:15" x14ac:dyDescent="0.35">
      <c r="O413" s="307"/>
    </row>
    <row r="414" spans="15:15" x14ac:dyDescent="0.35">
      <c r="O414" s="307"/>
    </row>
    <row r="415" spans="15:15" x14ac:dyDescent="0.35">
      <c r="O415" s="307"/>
    </row>
    <row r="416" spans="15:15" x14ac:dyDescent="0.35">
      <c r="O416" s="307"/>
    </row>
    <row r="417" spans="15:15" x14ac:dyDescent="0.35">
      <c r="O417" s="307"/>
    </row>
    <row r="418" spans="15:15" x14ac:dyDescent="0.35">
      <c r="O418" s="307"/>
    </row>
    <row r="419" spans="15:15" x14ac:dyDescent="0.35">
      <c r="O419" s="307"/>
    </row>
    <row r="420" spans="15:15" x14ac:dyDescent="0.35">
      <c r="O420" s="307"/>
    </row>
    <row r="421" spans="15:15" x14ac:dyDescent="0.35">
      <c r="O421" s="307"/>
    </row>
    <row r="422" spans="15:15" x14ac:dyDescent="0.35">
      <c r="O422" s="307"/>
    </row>
    <row r="423" spans="15:15" x14ac:dyDescent="0.35">
      <c r="O423" s="307"/>
    </row>
    <row r="424" spans="15:15" x14ac:dyDescent="0.35">
      <c r="O424" s="307"/>
    </row>
    <row r="425" spans="15:15" x14ac:dyDescent="0.35">
      <c r="O425" s="307"/>
    </row>
    <row r="426" spans="15:15" x14ac:dyDescent="0.35">
      <c r="O426" s="307"/>
    </row>
    <row r="427" spans="15:15" x14ac:dyDescent="0.35">
      <c r="O427" s="307"/>
    </row>
    <row r="428" spans="15:15" x14ac:dyDescent="0.35">
      <c r="O428" s="307"/>
    </row>
    <row r="429" spans="15:15" x14ac:dyDescent="0.35">
      <c r="O429" s="307"/>
    </row>
    <row r="430" spans="15:15" x14ac:dyDescent="0.35">
      <c r="O430" s="307"/>
    </row>
    <row r="431" spans="15:15" x14ac:dyDescent="0.35">
      <c r="O431" s="307"/>
    </row>
    <row r="432" spans="15:15" x14ac:dyDescent="0.35">
      <c r="O432" s="307"/>
    </row>
    <row r="433" spans="15:15" x14ac:dyDescent="0.35">
      <c r="O433" s="307"/>
    </row>
    <row r="434" spans="15:15" x14ac:dyDescent="0.35">
      <c r="O434" s="307"/>
    </row>
    <row r="435" spans="15:15" x14ac:dyDescent="0.35">
      <c r="O435" s="307"/>
    </row>
    <row r="436" spans="15:15" x14ac:dyDescent="0.35">
      <c r="O436" s="307"/>
    </row>
    <row r="437" spans="15:15" x14ac:dyDescent="0.35">
      <c r="O437" s="307"/>
    </row>
    <row r="438" spans="15:15" x14ac:dyDescent="0.35">
      <c r="O438" s="307"/>
    </row>
    <row r="439" spans="15:15" x14ac:dyDescent="0.35">
      <c r="O439" s="307"/>
    </row>
    <row r="440" spans="15:15" x14ac:dyDescent="0.35">
      <c r="O440" s="307"/>
    </row>
    <row r="441" spans="15:15" x14ac:dyDescent="0.35">
      <c r="O441" s="307"/>
    </row>
    <row r="442" spans="15:15" x14ac:dyDescent="0.35">
      <c r="O442" s="307"/>
    </row>
    <row r="443" spans="15:15" x14ac:dyDescent="0.35">
      <c r="O443" s="307"/>
    </row>
    <row r="444" spans="15:15" x14ac:dyDescent="0.35">
      <c r="O444" s="307"/>
    </row>
    <row r="445" spans="15:15" x14ac:dyDescent="0.35">
      <c r="O445" s="307"/>
    </row>
    <row r="446" spans="15:15" x14ac:dyDescent="0.35">
      <c r="O446" s="307"/>
    </row>
    <row r="447" spans="15:15" x14ac:dyDescent="0.35">
      <c r="O447" s="307"/>
    </row>
    <row r="448" spans="15:15" x14ac:dyDescent="0.35">
      <c r="O448" s="307"/>
    </row>
    <row r="449" spans="15:15" x14ac:dyDescent="0.35">
      <c r="O449" s="307"/>
    </row>
    <row r="450" spans="15:15" x14ac:dyDescent="0.35">
      <c r="O450" s="307"/>
    </row>
    <row r="451" spans="15:15" x14ac:dyDescent="0.35">
      <c r="O451" s="307"/>
    </row>
    <row r="452" spans="15:15" x14ac:dyDescent="0.35">
      <c r="O452" s="307"/>
    </row>
    <row r="453" spans="15:15" x14ac:dyDescent="0.35">
      <c r="O453" s="307"/>
    </row>
    <row r="454" spans="15:15" x14ac:dyDescent="0.35">
      <c r="O454" s="307"/>
    </row>
    <row r="455" spans="15:15" x14ac:dyDescent="0.35">
      <c r="O455" s="307"/>
    </row>
    <row r="456" spans="15:15" x14ac:dyDescent="0.35">
      <c r="O456" s="307"/>
    </row>
    <row r="457" spans="15:15" x14ac:dyDescent="0.35">
      <c r="O457" s="307"/>
    </row>
    <row r="458" spans="15:15" x14ac:dyDescent="0.35">
      <c r="O458" s="307"/>
    </row>
    <row r="459" spans="15:15" x14ac:dyDescent="0.35">
      <c r="O459" s="307"/>
    </row>
    <row r="460" spans="15:15" x14ac:dyDescent="0.35">
      <c r="O460" s="307"/>
    </row>
    <row r="461" spans="15:15" x14ac:dyDescent="0.35">
      <c r="O461" s="307"/>
    </row>
    <row r="462" spans="15:15" x14ac:dyDescent="0.35">
      <c r="O462" s="307"/>
    </row>
    <row r="463" spans="15:15" x14ac:dyDescent="0.35">
      <c r="O463" s="307"/>
    </row>
    <row r="464" spans="15:15" x14ac:dyDescent="0.35">
      <c r="O464" s="307"/>
    </row>
    <row r="465" spans="15:15" x14ac:dyDescent="0.35">
      <c r="O465" s="307"/>
    </row>
    <row r="466" spans="15:15" x14ac:dyDescent="0.35">
      <c r="O466" s="307"/>
    </row>
    <row r="467" spans="15:15" x14ac:dyDescent="0.35">
      <c r="O467" s="307"/>
    </row>
    <row r="468" spans="15:15" x14ac:dyDescent="0.35">
      <c r="O468" s="307"/>
    </row>
    <row r="469" spans="15:15" x14ac:dyDescent="0.35">
      <c r="O469" s="307"/>
    </row>
    <row r="470" spans="15:15" x14ac:dyDescent="0.35">
      <c r="O470" s="307"/>
    </row>
    <row r="471" spans="15:15" x14ac:dyDescent="0.35">
      <c r="O471" s="307"/>
    </row>
    <row r="472" spans="15:15" x14ac:dyDescent="0.35">
      <c r="O472" s="307"/>
    </row>
    <row r="473" spans="15:15" x14ac:dyDescent="0.35">
      <c r="O473" s="307"/>
    </row>
    <row r="474" spans="15:15" x14ac:dyDescent="0.35">
      <c r="O474" s="307"/>
    </row>
    <row r="475" spans="15:15" x14ac:dyDescent="0.35">
      <c r="O475" s="307"/>
    </row>
    <row r="476" spans="15:15" x14ac:dyDescent="0.35">
      <c r="O476" s="307"/>
    </row>
    <row r="477" spans="15:15" x14ac:dyDescent="0.35">
      <c r="O477" s="307"/>
    </row>
    <row r="478" spans="15:15" x14ac:dyDescent="0.35">
      <c r="O478" s="307"/>
    </row>
    <row r="479" spans="15:15" x14ac:dyDescent="0.35">
      <c r="O479" s="307"/>
    </row>
    <row r="480" spans="15:15" x14ac:dyDescent="0.35">
      <c r="O480" s="307"/>
    </row>
    <row r="481" spans="15:15" x14ac:dyDescent="0.35">
      <c r="O481" s="307"/>
    </row>
    <row r="482" spans="15:15" x14ac:dyDescent="0.35">
      <c r="O482" s="307"/>
    </row>
    <row r="483" spans="15:15" x14ac:dyDescent="0.35">
      <c r="O483" s="307"/>
    </row>
    <row r="484" spans="15:15" x14ac:dyDescent="0.35">
      <c r="O484" s="307"/>
    </row>
    <row r="485" spans="15:15" x14ac:dyDescent="0.35">
      <c r="O485" s="307"/>
    </row>
    <row r="486" spans="15:15" x14ac:dyDescent="0.35">
      <c r="O486" s="307"/>
    </row>
    <row r="487" spans="15:15" x14ac:dyDescent="0.35">
      <c r="O487" s="307"/>
    </row>
    <row r="488" spans="15:15" x14ac:dyDescent="0.35">
      <c r="O488" s="307"/>
    </row>
    <row r="489" spans="15:15" x14ac:dyDescent="0.35">
      <c r="O489" s="307"/>
    </row>
    <row r="490" spans="15:15" x14ac:dyDescent="0.35">
      <c r="O490" s="307"/>
    </row>
    <row r="491" spans="15:15" x14ac:dyDescent="0.35">
      <c r="O491" s="307"/>
    </row>
    <row r="492" spans="15:15" x14ac:dyDescent="0.35">
      <c r="O492" s="307"/>
    </row>
    <row r="493" spans="15:15" x14ac:dyDescent="0.35">
      <c r="O493" s="307"/>
    </row>
    <row r="494" spans="15:15" x14ac:dyDescent="0.35">
      <c r="O494" s="307"/>
    </row>
    <row r="495" spans="15:15" x14ac:dyDescent="0.35">
      <c r="O495" s="307"/>
    </row>
    <row r="496" spans="15:15" x14ac:dyDescent="0.35">
      <c r="O496" s="307"/>
    </row>
    <row r="497" spans="15:15" x14ac:dyDescent="0.35">
      <c r="O497" s="307"/>
    </row>
    <row r="498" spans="15:15" x14ac:dyDescent="0.35">
      <c r="O498" s="307"/>
    </row>
    <row r="499" spans="15:15" x14ac:dyDescent="0.35">
      <c r="O499" s="307"/>
    </row>
    <row r="500" spans="15:15" x14ac:dyDescent="0.35">
      <c r="O500" s="307"/>
    </row>
    <row r="501" spans="15:15" x14ac:dyDescent="0.35">
      <c r="O501" s="307"/>
    </row>
    <row r="502" spans="15:15" x14ac:dyDescent="0.35">
      <c r="O502" s="307"/>
    </row>
    <row r="503" spans="15:15" x14ac:dyDescent="0.35">
      <c r="O503" s="307"/>
    </row>
    <row r="504" spans="15:15" x14ac:dyDescent="0.35">
      <c r="O504" s="307"/>
    </row>
    <row r="505" spans="15:15" x14ac:dyDescent="0.35">
      <c r="O505" s="307"/>
    </row>
    <row r="506" spans="15:15" x14ac:dyDescent="0.35">
      <c r="O506" s="307"/>
    </row>
    <row r="507" spans="15:15" x14ac:dyDescent="0.35">
      <c r="O507" s="307"/>
    </row>
    <row r="508" spans="15:15" x14ac:dyDescent="0.35">
      <c r="O508" s="307"/>
    </row>
    <row r="509" spans="15:15" x14ac:dyDescent="0.35">
      <c r="O509" s="307"/>
    </row>
    <row r="510" spans="15:15" x14ac:dyDescent="0.35">
      <c r="O510" s="307"/>
    </row>
    <row r="511" spans="15:15" x14ac:dyDescent="0.35">
      <c r="O511" s="307"/>
    </row>
    <row r="512" spans="15:15" x14ac:dyDescent="0.35">
      <c r="O512" s="307"/>
    </row>
    <row r="513" spans="15:15" x14ac:dyDescent="0.35">
      <c r="O513" s="307"/>
    </row>
    <row r="514" spans="15:15" x14ac:dyDescent="0.35">
      <c r="O514" s="307"/>
    </row>
    <row r="515" spans="15:15" x14ac:dyDescent="0.35">
      <c r="O515" s="307"/>
    </row>
    <row r="516" spans="15:15" x14ac:dyDescent="0.35">
      <c r="O516" s="307"/>
    </row>
    <row r="517" spans="15:15" x14ac:dyDescent="0.35">
      <c r="O517" s="307"/>
    </row>
    <row r="518" spans="15:15" x14ac:dyDescent="0.35">
      <c r="O518" s="307"/>
    </row>
    <row r="519" spans="15:15" x14ac:dyDescent="0.35">
      <c r="O519" s="307"/>
    </row>
    <row r="520" spans="15:15" x14ac:dyDescent="0.35">
      <c r="O520" s="307"/>
    </row>
    <row r="521" spans="15:15" x14ac:dyDescent="0.35">
      <c r="O521" s="307"/>
    </row>
    <row r="522" spans="15:15" x14ac:dyDescent="0.35">
      <c r="O522" s="307"/>
    </row>
    <row r="523" spans="15:15" x14ac:dyDescent="0.35">
      <c r="O523" s="307"/>
    </row>
    <row r="524" spans="15:15" x14ac:dyDescent="0.35">
      <c r="O524" s="307"/>
    </row>
    <row r="525" spans="15:15" x14ac:dyDescent="0.35">
      <c r="O525" s="307"/>
    </row>
    <row r="526" spans="15:15" x14ac:dyDescent="0.35">
      <c r="O526" s="307"/>
    </row>
    <row r="527" spans="15:15" x14ac:dyDescent="0.35">
      <c r="O527" s="307"/>
    </row>
    <row r="528" spans="15:15" x14ac:dyDescent="0.35">
      <c r="O528" s="307"/>
    </row>
    <row r="529" spans="15:15" x14ac:dyDescent="0.35">
      <c r="O529" s="307"/>
    </row>
    <row r="530" spans="15:15" x14ac:dyDescent="0.35">
      <c r="O530" s="307"/>
    </row>
    <row r="531" spans="15:15" x14ac:dyDescent="0.35">
      <c r="O531" s="307"/>
    </row>
    <row r="532" spans="15:15" x14ac:dyDescent="0.35">
      <c r="O532" s="307"/>
    </row>
    <row r="533" spans="15:15" x14ac:dyDescent="0.35">
      <c r="O533" s="307"/>
    </row>
    <row r="534" spans="15:15" x14ac:dyDescent="0.35">
      <c r="O534" s="307"/>
    </row>
    <row r="535" spans="15:15" x14ac:dyDescent="0.35">
      <c r="O535" s="307"/>
    </row>
    <row r="536" spans="15:15" x14ac:dyDescent="0.35">
      <c r="O536" s="307"/>
    </row>
    <row r="537" spans="15:15" x14ac:dyDescent="0.35">
      <c r="O537" s="307"/>
    </row>
    <row r="538" spans="15:15" x14ac:dyDescent="0.35">
      <c r="O538" s="307"/>
    </row>
    <row r="539" spans="15:15" x14ac:dyDescent="0.35">
      <c r="O539" s="307"/>
    </row>
    <row r="540" spans="15:15" x14ac:dyDescent="0.35">
      <c r="O540" s="307"/>
    </row>
    <row r="541" spans="15:15" x14ac:dyDescent="0.35">
      <c r="O541" s="307"/>
    </row>
    <row r="542" spans="15:15" x14ac:dyDescent="0.35">
      <c r="O542" s="307"/>
    </row>
    <row r="543" spans="15:15" x14ac:dyDescent="0.35">
      <c r="O543" s="307"/>
    </row>
    <row r="544" spans="15:15" x14ac:dyDescent="0.35">
      <c r="O544" s="307"/>
    </row>
    <row r="545" spans="15:15" x14ac:dyDescent="0.35">
      <c r="O545" s="307"/>
    </row>
    <row r="546" spans="15:15" x14ac:dyDescent="0.35">
      <c r="O546" s="307"/>
    </row>
    <row r="547" spans="15:15" x14ac:dyDescent="0.35">
      <c r="O547" s="307"/>
    </row>
    <row r="548" spans="15:15" x14ac:dyDescent="0.35">
      <c r="O548" s="307"/>
    </row>
    <row r="549" spans="15:15" x14ac:dyDescent="0.35">
      <c r="O549" s="307"/>
    </row>
    <row r="550" spans="15:15" x14ac:dyDescent="0.35">
      <c r="O550" s="307"/>
    </row>
    <row r="551" spans="15:15" x14ac:dyDescent="0.35">
      <c r="O551" s="307"/>
    </row>
    <row r="552" spans="15:15" x14ac:dyDescent="0.35">
      <c r="O552" s="307"/>
    </row>
    <row r="553" spans="15:15" x14ac:dyDescent="0.35">
      <c r="O553" s="307"/>
    </row>
    <row r="554" spans="15:15" x14ac:dyDescent="0.35">
      <c r="O554" s="307"/>
    </row>
    <row r="555" spans="15:15" x14ac:dyDescent="0.35">
      <c r="O555" s="307"/>
    </row>
    <row r="556" spans="15:15" x14ac:dyDescent="0.35">
      <c r="O556" s="307"/>
    </row>
    <row r="557" spans="15:15" x14ac:dyDescent="0.35">
      <c r="O557" s="307"/>
    </row>
    <row r="558" spans="15:15" x14ac:dyDescent="0.35">
      <c r="O558" s="307"/>
    </row>
    <row r="559" spans="15:15" x14ac:dyDescent="0.35">
      <c r="O559" s="307"/>
    </row>
    <row r="560" spans="15:15" x14ac:dyDescent="0.35">
      <c r="O560" s="307"/>
    </row>
    <row r="561" spans="15:15" x14ac:dyDescent="0.35">
      <c r="O561" s="307"/>
    </row>
    <row r="562" spans="15:15" x14ac:dyDescent="0.35">
      <c r="O562" s="307"/>
    </row>
    <row r="563" spans="15:15" x14ac:dyDescent="0.35">
      <c r="O563" s="307"/>
    </row>
    <row r="564" spans="15:15" x14ac:dyDescent="0.35">
      <c r="O564" s="307"/>
    </row>
    <row r="565" spans="15:15" x14ac:dyDescent="0.35">
      <c r="O565" s="307"/>
    </row>
    <row r="566" spans="15:15" x14ac:dyDescent="0.35">
      <c r="O566" s="307"/>
    </row>
    <row r="567" spans="15:15" x14ac:dyDescent="0.35">
      <c r="O567" s="307"/>
    </row>
    <row r="568" spans="15:15" x14ac:dyDescent="0.35">
      <c r="O568" s="307"/>
    </row>
    <row r="569" spans="15:15" x14ac:dyDescent="0.35">
      <c r="O569" s="307"/>
    </row>
    <row r="570" spans="15:15" x14ac:dyDescent="0.35">
      <c r="O570" s="307"/>
    </row>
    <row r="571" spans="15:15" x14ac:dyDescent="0.35">
      <c r="O571" s="307"/>
    </row>
    <row r="572" spans="15:15" x14ac:dyDescent="0.35">
      <c r="O572" s="307"/>
    </row>
    <row r="573" spans="15:15" x14ac:dyDescent="0.35">
      <c r="O573" s="307"/>
    </row>
    <row r="574" spans="15:15" x14ac:dyDescent="0.35">
      <c r="O574" s="307"/>
    </row>
    <row r="575" spans="15:15" x14ac:dyDescent="0.35">
      <c r="O575" s="307"/>
    </row>
    <row r="576" spans="15:15" x14ac:dyDescent="0.35">
      <c r="O576" s="307"/>
    </row>
    <row r="577" spans="15:15" x14ac:dyDescent="0.35">
      <c r="O577" s="307"/>
    </row>
    <row r="578" spans="15:15" x14ac:dyDescent="0.35">
      <c r="O578" s="307"/>
    </row>
    <row r="579" spans="15:15" x14ac:dyDescent="0.35">
      <c r="O579" s="307"/>
    </row>
    <row r="580" spans="15:15" x14ac:dyDescent="0.35">
      <c r="O580" s="307"/>
    </row>
    <row r="581" spans="15:15" x14ac:dyDescent="0.35">
      <c r="O581" s="307"/>
    </row>
    <row r="582" spans="15:15" x14ac:dyDescent="0.35">
      <c r="O582" s="307"/>
    </row>
    <row r="583" spans="15:15" x14ac:dyDescent="0.35">
      <c r="O583" s="307"/>
    </row>
    <row r="584" spans="15:15" x14ac:dyDescent="0.35">
      <c r="O584" s="307"/>
    </row>
    <row r="585" spans="15:15" x14ac:dyDescent="0.35">
      <c r="O585" s="307"/>
    </row>
    <row r="586" spans="15:15" x14ac:dyDescent="0.35">
      <c r="O586" s="307"/>
    </row>
    <row r="587" spans="15:15" x14ac:dyDescent="0.35">
      <c r="O587" s="307"/>
    </row>
    <row r="588" spans="15:15" x14ac:dyDescent="0.35">
      <c r="O588" s="307"/>
    </row>
    <row r="589" spans="15:15" x14ac:dyDescent="0.35">
      <c r="O589" s="307"/>
    </row>
    <row r="590" spans="15:15" x14ac:dyDescent="0.35">
      <c r="O590" s="307"/>
    </row>
    <row r="591" spans="15:15" x14ac:dyDescent="0.35">
      <c r="O591" s="307"/>
    </row>
    <row r="592" spans="15:15" x14ac:dyDescent="0.35">
      <c r="O592" s="307"/>
    </row>
    <row r="593" spans="15:15" x14ac:dyDescent="0.35">
      <c r="O593" s="307"/>
    </row>
    <row r="594" spans="15:15" x14ac:dyDescent="0.35">
      <c r="O594" s="307"/>
    </row>
    <row r="595" spans="15:15" x14ac:dyDescent="0.35">
      <c r="O595" s="307"/>
    </row>
    <row r="596" spans="15:15" x14ac:dyDescent="0.35">
      <c r="O596" s="307"/>
    </row>
    <row r="597" spans="15:15" x14ac:dyDescent="0.35">
      <c r="O597" s="307"/>
    </row>
    <row r="598" spans="15:15" x14ac:dyDescent="0.35">
      <c r="O598" s="307"/>
    </row>
    <row r="599" spans="15:15" x14ac:dyDescent="0.35">
      <c r="O599" s="307"/>
    </row>
    <row r="600" spans="15:15" x14ac:dyDescent="0.35">
      <c r="O600" s="307"/>
    </row>
    <row r="601" spans="15:15" x14ac:dyDescent="0.35">
      <c r="O601" s="307"/>
    </row>
    <row r="602" spans="15:15" x14ac:dyDescent="0.35">
      <c r="O602" s="307"/>
    </row>
    <row r="603" spans="15:15" x14ac:dyDescent="0.35">
      <c r="O603" s="307"/>
    </row>
    <row r="604" spans="15:15" x14ac:dyDescent="0.35">
      <c r="O604" s="307"/>
    </row>
    <row r="605" spans="15:15" x14ac:dyDescent="0.35">
      <c r="O605" s="307"/>
    </row>
    <row r="606" spans="15:15" x14ac:dyDescent="0.35">
      <c r="O606" s="307"/>
    </row>
    <row r="607" spans="15:15" x14ac:dyDescent="0.35">
      <c r="O607" s="307"/>
    </row>
    <row r="608" spans="15:15" x14ac:dyDescent="0.35">
      <c r="O608" s="307"/>
    </row>
    <row r="609" spans="15:15" x14ac:dyDescent="0.35">
      <c r="O609" s="307"/>
    </row>
    <row r="610" spans="15:15" x14ac:dyDescent="0.35">
      <c r="O610" s="307"/>
    </row>
    <row r="611" spans="15:15" x14ac:dyDescent="0.35">
      <c r="O611" s="307"/>
    </row>
    <row r="612" spans="15:15" x14ac:dyDescent="0.35">
      <c r="O612" s="307"/>
    </row>
    <row r="613" spans="15:15" x14ac:dyDescent="0.35">
      <c r="O613" s="307"/>
    </row>
    <row r="614" spans="15:15" x14ac:dyDescent="0.35">
      <c r="O614" s="307"/>
    </row>
    <row r="615" spans="15:15" x14ac:dyDescent="0.35">
      <c r="O615" s="307"/>
    </row>
    <row r="616" spans="15:15" x14ac:dyDescent="0.35">
      <c r="O616" s="307"/>
    </row>
    <row r="617" spans="15:15" x14ac:dyDescent="0.35">
      <c r="O617" s="307"/>
    </row>
    <row r="618" spans="15:15" x14ac:dyDescent="0.35">
      <c r="O618" s="307"/>
    </row>
    <row r="619" spans="15:15" x14ac:dyDescent="0.35">
      <c r="O619" s="307"/>
    </row>
    <row r="620" spans="15:15" x14ac:dyDescent="0.35">
      <c r="O620" s="307"/>
    </row>
    <row r="621" spans="15:15" x14ac:dyDescent="0.35">
      <c r="O621" s="307"/>
    </row>
    <row r="622" spans="15:15" x14ac:dyDescent="0.35">
      <c r="O622" s="307"/>
    </row>
    <row r="623" spans="15:15" x14ac:dyDescent="0.35">
      <c r="O623" s="307"/>
    </row>
    <row r="624" spans="15:15" x14ac:dyDescent="0.35">
      <c r="O624" s="307"/>
    </row>
    <row r="625" spans="15:15" x14ac:dyDescent="0.35">
      <c r="O625" s="307"/>
    </row>
    <row r="626" spans="15:15" x14ac:dyDescent="0.35">
      <c r="O626" s="307"/>
    </row>
    <row r="627" spans="15:15" x14ac:dyDescent="0.35">
      <c r="O627" s="307"/>
    </row>
    <row r="628" spans="15:15" x14ac:dyDescent="0.35">
      <c r="O628" s="307"/>
    </row>
    <row r="629" spans="15:15" x14ac:dyDescent="0.35">
      <c r="O629" s="307"/>
    </row>
    <row r="630" spans="15:15" x14ac:dyDescent="0.35">
      <c r="O630" s="307"/>
    </row>
    <row r="631" spans="15:15" x14ac:dyDescent="0.35">
      <c r="O631" s="307"/>
    </row>
    <row r="632" spans="15:15" x14ac:dyDescent="0.35">
      <c r="O632" s="307"/>
    </row>
    <row r="633" spans="15:15" x14ac:dyDescent="0.35">
      <c r="O633" s="307"/>
    </row>
    <row r="634" spans="15:15" x14ac:dyDescent="0.35">
      <c r="O634" s="307"/>
    </row>
    <row r="635" spans="15:15" x14ac:dyDescent="0.35">
      <c r="O635" s="307"/>
    </row>
    <row r="636" spans="15:15" x14ac:dyDescent="0.35">
      <c r="O636" s="307"/>
    </row>
    <row r="637" spans="15:15" x14ac:dyDescent="0.35">
      <c r="O637" s="307"/>
    </row>
    <row r="638" spans="15:15" x14ac:dyDescent="0.35">
      <c r="O638" s="307"/>
    </row>
    <row r="639" spans="15:15" x14ac:dyDescent="0.35">
      <c r="O639" s="307"/>
    </row>
    <row r="640" spans="15:15" x14ac:dyDescent="0.35">
      <c r="O640" s="307"/>
    </row>
    <row r="641" spans="15:15" x14ac:dyDescent="0.35">
      <c r="O641" s="307"/>
    </row>
    <row r="642" spans="15:15" x14ac:dyDescent="0.35">
      <c r="O642" s="307"/>
    </row>
    <row r="643" spans="15:15" x14ac:dyDescent="0.35">
      <c r="O643" s="307"/>
    </row>
    <row r="644" spans="15:15" x14ac:dyDescent="0.35">
      <c r="O644" s="307"/>
    </row>
    <row r="645" spans="15:15" x14ac:dyDescent="0.35">
      <c r="O645" s="307"/>
    </row>
    <row r="646" spans="15:15" x14ac:dyDescent="0.35">
      <c r="O646" s="307"/>
    </row>
    <row r="647" spans="15:15" x14ac:dyDescent="0.35">
      <c r="O647" s="307"/>
    </row>
    <row r="648" spans="15:15" x14ac:dyDescent="0.35">
      <c r="O648" s="307"/>
    </row>
    <row r="649" spans="15:15" x14ac:dyDescent="0.35">
      <c r="O649" s="307"/>
    </row>
    <row r="650" spans="15:15" x14ac:dyDescent="0.35">
      <c r="O650" s="307"/>
    </row>
    <row r="651" spans="15:15" x14ac:dyDescent="0.35">
      <c r="O651" s="307"/>
    </row>
    <row r="652" spans="15:15" x14ac:dyDescent="0.35">
      <c r="O652" s="307"/>
    </row>
    <row r="653" spans="15:15" x14ac:dyDescent="0.35">
      <c r="O653" s="307"/>
    </row>
    <row r="654" spans="15:15" x14ac:dyDescent="0.35">
      <c r="O654" s="307"/>
    </row>
    <row r="655" spans="15:15" x14ac:dyDescent="0.35">
      <c r="O655" s="307"/>
    </row>
    <row r="656" spans="15:15" x14ac:dyDescent="0.35">
      <c r="O656" s="307"/>
    </row>
    <row r="657" spans="15:15" x14ac:dyDescent="0.35">
      <c r="O657" s="307"/>
    </row>
    <row r="658" spans="15:15" x14ac:dyDescent="0.35">
      <c r="O658" s="307"/>
    </row>
    <row r="659" spans="15:15" x14ac:dyDescent="0.35">
      <c r="O659" s="307"/>
    </row>
    <row r="660" spans="15:15" x14ac:dyDescent="0.35">
      <c r="O660" s="307"/>
    </row>
    <row r="661" spans="15:15" x14ac:dyDescent="0.35">
      <c r="O661" s="307"/>
    </row>
    <row r="662" spans="15:15" x14ac:dyDescent="0.35">
      <c r="O662" s="307"/>
    </row>
    <row r="663" spans="15:15" x14ac:dyDescent="0.35">
      <c r="O663" s="307"/>
    </row>
    <row r="664" spans="15:15" x14ac:dyDescent="0.35">
      <c r="O664" s="307"/>
    </row>
    <row r="665" spans="15:15" x14ac:dyDescent="0.35">
      <c r="O665" s="307"/>
    </row>
    <row r="666" spans="15:15" x14ac:dyDescent="0.35">
      <c r="O666" s="307"/>
    </row>
    <row r="667" spans="15:15" x14ac:dyDescent="0.35">
      <c r="O667" s="307"/>
    </row>
    <row r="668" spans="15:15" x14ac:dyDescent="0.35">
      <c r="O668" s="307"/>
    </row>
    <row r="669" spans="15:15" x14ac:dyDescent="0.35">
      <c r="O669" s="307"/>
    </row>
    <row r="670" spans="15:15" x14ac:dyDescent="0.35">
      <c r="O670" s="307"/>
    </row>
    <row r="671" spans="15:15" x14ac:dyDescent="0.35">
      <c r="O671" s="307"/>
    </row>
    <row r="672" spans="15:15" x14ac:dyDescent="0.35">
      <c r="O672" s="307"/>
    </row>
    <row r="673" spans="15:15" x14ac:dyDescent="0.35">
      <c r="O673" s="307"/>
    </row>
    <row r="674" spans="15:15" x14ac:dyDescent="0.35">
      <c r="O674" s="307"/>
    </row>
    <row r="675" spans="15:15" x14ac:dyDescent="0.35">
      <c r="O675" s="307"/>
    </row>
    <row r="676" spans="15:15" x14ac:dyDescent="0.35">
      <c r="O676" s="307"/>
    </row>
    <row r="677" spans="15:15" x14ac:dyDescent="0.35">
      <c r="O677" s="307"/>
    </row>
    <row r="678" spans="15:15" x14ac:dyDescent="0.35">
      <c r="O678" s="307"/>
    </row>
    <row r="679" spans="15:15" x14ac:dyDescent="0.35">
      <c r="O679" s="307"/>
    </row>
    <row r="680" spans="15:15" x14ac:dyDescent="0.35">
      <c r="O680" s="307"/>
    </row>
    <row r="681" spans="15:15" x14ac:dyDescent="0.35">
      <c r="O681" s="307"/>
    </row>
    <row r="682" spans="15:15" x14ac:dyDescent="0.35">
      <c r="O682" s="307"/>
    </row>
    <row r="683" spans="15:15" x14ac:dyDescent="0.35">
      <c r="O683" s="307"/>
    </row>
    <row r="684" spans="15:15" x14ac:dyDescent="0.35">
      <c r="O684" s="307"/>
    </row>
    <row r="685" spans="15:15" x14ac:dyDescent="0.35">
      <c r="O685" s="307"/>
    </row>
    <row r="686" spans="15:15" x14ac:dyDescent="0.35">
      <c r="O686" s="307"/>
    </row>
    <row r="687" spans="15:15" x14ac:dyDescent="0.35">
      <c r="O687" s="307"/>
    </row>
    <row r="688" spans="15:15" x14ac:dyDescent="0.35">
      <c r="O688" s="307"/>
    </row>
    <row r="689" spans="15:15" x14ac:dyDescent="0.35">
      <c r="O689" s="307"/>
    </row>
    <row r="690" spans="15:15" x14ac:dyDescent="0.35">
      <c r="O690" s="307"/>
    </row>
    <row r="691" spans="15:15" x14ac:dyDescent="0.35">
      <c r="O691" s="307"/>
    </row>
    <row r="692" spans="15:15" x14ac:dyDescent="0.35">
      <c r="O692" s="307"/>
    </row>
    <row r="693" spans="15:15" x14ac:dyDescent="0.35">
      <c r="O693" s="307"/>
    </row>
    <row r="694" spans="15:15" x14ac:dyDescent="0.35">
      <c r="O694" s="307"/>
    </row>
    <row r="695" spans="15:15" x14ac:dyDescent="0.35">
      <c r="O695" s="307"/>
    </row>
    <row r="696" spans="15:15" x14ac:dyDescent="0.35">
      <c r="O696" s="307"/>
    </row>
    <row r="697" spans="15:15" x14ac:dyDescent="0.35">
      <c r="O697" s="307"/>
    </row>
    <row r="698" spans="15:15" x14ac:dyDescent="0.35">
      <c r="O698" s="307"/>
    </row>
    <row r="699" spans="15:15" x14ac:dyDescent="0.35">
      <c r="O699" s="307"/>
    </row>
    <row r="700" spans="15:15" x14ac:dyDescent="0.35">
      <c r="O700" s="307"/>
    </row>
    <row r="701" spans="15:15" x14ac:dyDescent="0.35">
      <c r="O701" s="307"/>
    </row>
    <row r="702" spans="15:15" x14ac:dyDescent="0.35">
      <c r="O702" s="307"/>
    </row>
    <row r="703" spans="15:15" x14ac:dyDescent="0.35">
      <c r="O703" s="307"/>
    </row>
    <row r="704" spans="15:15" x14ac:dyDescent="0.35">
      <c r="O704" s="307"/>
    </row>
    <row r="705" spans="15:15" x14ac:dyDescent="0.35">
      <c r="O705" s="307"/>
    </row>
    <row r="706" spans="15:15" x14ac:dyDescent="0.35">
      <c r="O706" s="307"/>
    </row>
    <row r="707" spans="15:15" x14ac:dyDescent="0.35">
      <c r="O707" s="307"/>
    </row>
    <row r="708" spans="15:15" x14ac:dyDescent="0.35">
      <c r="O708" s="307"/>
    </row>
    <row r="709" spans="15:15" x14ac:dyDescent="0.35">
      <c r="O709" s="307"/>
    </row>
    <row r="710" spans="15:15" x14ac:dyDescent="0.35">
      <c r="O710" s="307"/>
    </row>
    <row r="711" spans="15:15" x14ac:dyDescent="0.35">
      <c r="O711" s="307"/>
    </row>
    <row r="712" spans="15:15" x14ac:dyDescent="0.35">
      <c r="O712" s="307"/>
    </row>
    <row r="713" spans="15:15" x14ac:dyDescent="0.35">
      <c r="O713" s="307"/>
    </row>
    <row r="714" spans="15:15" x14ac:dyDescent="0.35">
      <c r="O714" s="307"/>
    </row>
    <row r="715" spans="15:15" x14ac:dyDescent="0.35">
      <c r="O715" s="307"/>
    </row>
    <row r="716" spans="15:15" x14ac:dyDescent="0.35">
      <c r="O716" s="307"/>
    </row>
    <row r="717" spans="15:15" x14ac:dyDescent="0.35">
      <c r="O717" s="307"/>
    </row>
    <row r="718" spans="15:15" x14ac:dyDescent="0.35">
      <c r="O718" s="307"/>
    </row>
    <row r="719" spans="15:15" x14ac:dyDescent="0.35">
      <c r="O719" s="307"/>
    </row>
    <row r="720" spans="15:15" x14ac:dyDescent="0.35">
      <c r="O720" s="307"/>
    </row>
    <row r="721" spans="15:15" x14ac:dyDescent="0.35">
      <c r="O721" s="307"/>
    </row>
    <row r="722" spans="15:15" x14ac:dyDescent="0.35">
      <c r="O722" s="307"/>
    </row>
    <row r="723" spans="15:15" x14ac:dyDescent="0.35">
      <c r="O723" s="307"/>
    </row>
    <row r="724" spans="15:15" x14ac:dyDescent="0.35">
      <c r="O724" s="307"/>
    </row>
    <row r="725" spans="15:15" x14ac:dyDescent="0.35">
      <c r="O725" s="307"/>
    </row>
    <row r="726" spans="15:15" x14ac:dyDescent="0.35">
      <c r="O726" s="307"/>
    </row>
    <row r="727" spans="15:15" x14ac:dyDescent="0.35">
      <c r="O727" s="307"/>
    </row>
    <row r="728" spans="15:15" x14ac:dyDescent="0.35">
      <c r="O728" s="307"/>
    </row>
    <row r="729" spans="15:15" x14ac:dyDescent="0.35">
      <c r="O729" s="307"/>
    </row>
    <row r="730" spans="15:15" x14ac:dyDescent="0.35">
      <c r="O730" s="307"/>
    </row>
    <row r="731" spans="15:15" x14ac:dyDescent="0.35">
      <c r="O731" s="307"/>
    </row>
    <row r="732" spans="15:15" x14ac:dyDescent="0.35">
      <c r="O732" s="307"/>
    </row>
    <row r="733" spans="15:15" x14ac:dyDescent="0.35">
      <c r="O733" s="307"/>
    </row>
    <row r="734" spans="15:15" x14ac:dyDescent="0.35">
      <c r="O734" s="307"/>
    </row>
    <row r="735" spans="15:15" x14ac:dyDescent="0.35">
      <c r="O735" s="307"/>
    </row>
    <row r="736" spans="15:15" x14ac:dyDescent="0.35">
      <c r="O736" s="307"/>
    </row>
    <row r="737" spans="15:15" x14ac:dyDescent="0.35">
      <c r="O737" s="307"/>
    </row>
    <row r="738" spans="15:15" x14ac:dyDescent="0.35">
      <c r="O738" s="307"/>
    </row>
    <row r="739" spans="15:15" x14ac:dyDescent="0.35">
      <c r="O739" s="307"/>
    </row>
    <row r="740" spans="15:15" x14ac:dyDescent="0.35">
      <c r="O740" s="307"/>
    </row>
    <row r="741" spans="15:15" x14ac:dyDescent="0.35">
      <c r="O741" s="307"/>
    </row>
    <row r="742" spans="15:15" x14ac:dyDescent="0.35">
      <c r="O742" s="307"/>
    </row>
    <row r="743" spans="15:15" x14ac:dyDescent="0.35">
      <c r="O743" s="307"/>
    </row>
    <row r="744" spans="15:15" x14ac:dyDescent="0.35">
      <c r="O744" s="307"/>
    </row>
    <row r="745" spans="15:15" x14ac:dyDescent="0.35">
      <c r="O745" s="307"/>
    </row>
    <row r="746" spans="15:15" x14ac:dyDescent="0.35">
      <c r="O746" s="307"/>
    </row>
    <row r="747" spans="15:15" x14ac:dyDescent="0.35">
      <c r="O747" s="307"/>
    </row>
    <row r="748" spans="15:15" x14ac:dyDescent="0.35">
      <c r="O748" s="307"/>
    </row>
    <row r="749" spans="15:15" x14ac:dyDescent="0.35">
      <c r="O749" s="307"/>
    </row>
    <row r="750" spans="15:15" x14ac:dyDescent="0.35">
      <c r="O750" s="307"/>
    </row>
    <row r="751" spans="15:15" x14ac:dyDescent="0.35">
      <c r="O751" s="307"/>
    </row>
    <row r="752" spans="15:15" x14ac:dyDescent="0.35">
      <c r="O752" s="307"/>
    </row>
    <row r="753" spans="15:15" x14ac:dyDescent="0.35">
      <c r="O753" s="307"/>
    </row>
    <row r="754" spans="15:15" x14ac:dyDescent="0.35">
      <c r="O754" s="307"/>
    </row>
    <row r="755" spans="15:15" x14ac:dyDescent="0.35">
      <c r="O755" s="307"/>
    </row>
    <row r="756" spans="15:15" x14ac:dyDescent="0.35">
      <c r="O756" s="307"/>
    </row>
    <row r="757" spans="15:15" x14ac:dyDescent="0.35">
      <c r="O757" s="307"/>
    </row>
    <row r="758" spans="15:15" x14ac:dyDescent="0.35">
      <c r="O758" s="307"/>
    </row>
    <row r="759" spans="15:15" x14ac:dyDescent="0.35">
      <c r="O759" s="307"/>
    </row>
    <row r="760" spans="15:15" x14ac:dyDescent="0.35">
      <c r="O760" s="307"/>
    </row>
    <row r="761" spans="15:15" x14ac:dyDescent="0.35">
      <c r="O761" s="307"/>
    </row>
    <row r="762" spans="15:15" x14ac:dyDescent="0.35">
      <c r="O762" s="307"/>
    </row>
    <row r="763" spans="15:15" x14ac:dyDescent="0.35">
      <c r="O763" s="307"/>
    </row>
    <row r="764" spans="15:15" x14ac:dyDescent="0.35">
      <c r="O764" s="307"/>
    </row>
    <row r="765" spans="15:15" x14ac:dyDescent="0.35">
      <c r="O765" s="307"/>
    </row>
    <row r="766" spans="15:15" x14ac:dyDescent="0.35">
      <c r="O766" s="307"/>
    </row>
    <row r="767" spans="15:15" x14ac:dyDescent="0.35">
      <c r="O767" s="307"/>
    </row>
    <row r="768" spans="15:15" x14ac:dyDescent="0.35">
      <c r="O768" s="307"/>
    </row>
    <row r="769" spans="15:15" x14ac:dyDescent="0.35">
      <c r="O769" s="307"/>
    </row>
    <row r="770" spans="15:15" x14ac:dyDescent="0.35">
      <c r="O770" s="307"/>
    </row>
    <row r="771" spans="15:15" x14ac:dyDescent="0.35">
      <c r="O771" s="307"/>
    </row>
    <row r="772" spans="15:15" x14ac:dyDescent="0.35">
      <c r="O772" s="307"/>
    </row>
    <row r="773" spans="15:15" x14ac:dyDescent="0.35">
      <c r="O773" s="307"/>
    </row>
    <row r="774" spans="15:15" x14ac:dyDescent="0.35">
      <c r="O774" s="307"/>
    </row>
    <row r="775" spans="15:15" x14ac:dyDescent="0.35">
      <c r="O775" s="307"/>
    </row>
    <row r="776" spans="15:15" x14ac:dyDescent="0.35">
      <c r="O776" s="307"/>
    </row>
    <row r="777" spans="15:15" x14ac:dyDescent="0.35">
      <c r="O777" s="307"/>
    </row>
    <row r="778" spans="15:15" x14ac:dyDescent="0.35">
      <c r="O778" s="307"/>
    </row>
    <row r="779" spans="15:15" x14ac:dyDescent="0.35">
      <c r="O779" s="307"/>
    </row>
    <row r="780" spans="15:15" x14ac:dyDescent="0.35">
      <c r="O780" s="307"/>
    </row>
    <row r="781" spans="15:15" x14ac:dyDescent="0.35">
      <c r="O781" s="307"/>
    </row>
    <row r="782" spans="15:15" x14ac:dyDescent="0.35">
      <c r="O782" s="307"/>
    </row>
    <row r="783" spans="15:15" x14ac:dyDescent="0.35">
      <c r="O783" s="307"/>
    </row>
    <row r="784" spans="15:15" x14ac:dyDescent="0.35">
      <c r="O784" s="307"/>
    </row>
    <row r="785" spans="15:15" x14ac:dyDescent="0.35">
      <c r="O785" s="307"/>
    </row>
    <row r="786" spans="15:15" x14ac:dyDescent="0.35">
      <c r="O786" s="307"/>
    </row>
    <row r="787" spans="15:15" x14ac:dyDescent="0.35">
      <c r="O787" s="307"/>
    </row>
    <row r="788" spans="15:15" x14ac:dyDescent="0.35">
      <c r="O788" s="307"/>
    </row>
    <row r="789" spans="15:15" x14ac:dyDescent="0.35">
      <c r="O789" s="307"/>
    </row>
    <row r="790" spans="15:15" x14ac:dyDescent="0.35">
      <c r="O790" s="307"/>
    </row>
    <row r="791" spans="15:15" x14ac:dyDescent="0.35">
      <c r="O791" s="307"/>
    </row>
    <row r="792" spans="15:15" x14ac:dyDescent="0.35">
      <c r="O792" s="307"/>
    </row>
    <row r="793" spans="15:15" x14ac:dyDescent="0.35">
      <c r="O793" s="307"/>
    </row>
    <row r="794" spans="15:15" x14ac:dyDescent="0.35">
      <c r="O794" s="307"/>
    </row>
    <row r="795" spans="15:15" x14ac:dyDescent="0.35">
      <c r="O795" s="307"/>
    </row>
    <row r="796" spans="15:15" x14ac:dyDescent="0.35">
      <c r="O796" s="307"/>
    </row>
    <row r="797" spans="15:15" x14ac:dyDescent="0.35">
      <c r="O797" s="307"/>
    </row>
    <row r="798" spans="15:15" x14ac:dyDescent="0.35">
      <c r="O798" s="307"/>
    </row>
    <row r="799" spans="15:15" x14ac:dyDescent="0.35">
      <c r="O799" s="307"/>
    </row>
    <row r="800" spans="15:15" x14ac:dyDescent="0.35">
      <c r="O800" s="307"/>
    </row>
    <row r="801" spans="15:15" x14ac:dyDescent="0.35">
      <c r="O801" s="307"/>
    </row>
    <row r="802" spans="15:15" x14ac:dyDescent="0.35">
      <c r="O802" s="307"/>
    </row>
    <row r="803" spans="15:15" x14ac:dyDescent="0.35">
      <c r="O803" s="307"/>
    </row>
    <row r="804" spans="15:15" x14ac:dyDescent="0.35">
      <c r="O804" s="307"/>
    </row>
    <row r="805" spans="15:15" x14ac:dyDescent="0.35">
      <c r="O805" s="307"/>
    </row>
    <row r="806" spans="15:15" x14ac:dyDescent="0.35">
      <c r="O806" s="307"/>
    </row>
    <row r="807" spans="15:15" x14ac:dyDescent="0.35">
      <c r="O807" s="307"/>
    </row>
    <row r="808" spans="15:15" x14ac:dyDescent="0.35">
      <c r="O808" s="307"/>
    </row>
    <row r="809" spans="15:15" x14ac:dyDescent="0.35">
      <c r="O809" s="307"/>
    </row>
    <row r="810" spans="15:15" x14ac:dyDescent="0.35">
      <c r="O810" s="307"/>
    </row>
    <row r="811" spans="15:15" x14ac:dyDescent="0.35">
      <c r="O811" s="307"/>
    </row>
    <row r="812" spans="15:15" x14ac:dyDescent="0.35">
      <c r="O812" s="307"/>
    </row>
    <row r="813" spans="15:15" x14ac:dyDescent="0.35">
      <c r="O813" s="307"/>
    </row>
    <row r="814" spans="15:15" x14ac:dyDescent="0.35">
      <c r="O814" s="307"/>
    </row>
    <row r="815" spans="15:15" x14ac:dyDescent="0.35">
      <c r="O815" s="307"/>
    </row>
    <row r="816" spans="15:15" x14ac:dyDescent="0.35">
      <c r="O816" s="307"/>
    </row>
    <row r="817" spans="15:15" x14ac:dyDescent="0.35">
      <c r="O817" s="307"/>
    </row>
    <row r="818" spans="15:15" x14ac:dyDescent="0.35">
      <c r="O818" s="307"/>
    </row>
    <row r="819" spans="15:15" x14ac:dyDescent="0.35">
      <c r="O819" s="307"/>
    </row>
    <row r="820" spans="15:15" x14ac:dyDescent="0.35">
      <c r="O820" s="307"/>
    </row>
    <row r="821" spans="15:15" x14ac:dyDescent="0.35">
      <c r="O821" s="307"/>
    </row>
    <row r="822" spans="15:15" x14ac:dyDescent="0.35">
      <c r="O822" s="307"/>
    </row>
    <row r="823" spans="15:15" x14ac:dyDescent="0.35">
      <c r="O823" s="307"/>
    </row>
    <row r="824" spans="15:15" x14ac:dyDescent="0.35">
      <c r="O824" s="307"/>
    </row>
    <row r="825" spans="15:15" x14ac:dyDescent="0.35">
      <c r="O825" s="307"/>
    </row>
    <row r="826" spans="15:15" x14ac:dyDescent="0.35">
      <c r="O826" s="307"/>
    </row>
    <row r="827" spans="15:15" x14ac:dyDescent="0.35">
      <c r="O827" s="307"/>
    </row>
    <row r="828" spans="15:15" x14ac:dyDescent="0.35">
      <c r="O828" s="307"/>
    </row>
    <row r="829" spans="15:15" x14ac:dyDescent="0.35">
      <c r="O829" s="307"/>
    </row>
    <row r="830" spans="15:15" x14ac:dyDescent="0.35">
      <c r="O830" s="307"/>
    </row>
    <row r="831" spans="15:15" x14ac:dyDescent="0.35">
      <c r="O831" s="307"/>
    </row>
    <row r="832" spans="15:15" x14ac:dyDescent="0.35">
      <c r="O832" s="307"/>
    </row>
    <row r="833" spans="15:15" x14ac:dyDescent="0.35">
      <c r="O833" s="307"/>
    </row>
  </sheetData>
  <mergeCells count="5">
    <mergeCell ref="A1:I1"/>
    <mergeCell ref="A29:B29"/>
    <mergeCell ref="A30:B30"/>
    <mergeCell ref="A31:B31"/>
    <mergeCell ref="A32:B32"/>
  </mergeCells>
  <pageMargins left="0.7" right="0.7" top="0.75" bottom="0.75" header="0.3" footer="0.3"/>
  <pageSetup paperSize="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04FBF-8E47-4AF7-9A54-2F50209F3ECE}">
  <dimension ref="A1:O41"/>
  <sheetViews>
    <sheetView topLeftCell="D1" zoomScale="90" zoomScaleNormal="90" workbookViewId="0">
      <selection activeCell="K11" sqref="K11"/>
    </sheetView>
  </sheetViews>
  <sheetFormatPr defaultColWidth="9.19921875" defaultRowHeight="12.75" x14ac:dyDescent="0.35"/>
  <cols>
    <col min="1" max="1" width="13.46484375" style="264" customWidth="1"/>
    <col min="2" max="2" width="26.46484375" style="264" customWidth="1"/>
    <col min="3" max="3" width="13.46484375" style="264" customWidth="1"/>
    <col min="4" max="4" width="12.59765625" style="264" customWidth="1"/>
    <col min="5" max="5" width="13.46484375" style="264" customWidth="1"/>
    <col min="6" max="8" width="14.46484375" style="264" customWidth="1"/>
    <col min="9" max="9" width="17.46484375" style="264" customWidth="1"/>
    <col min="10" max="10" width="15" style="264" customWidth="1"/>
    <col min="11" max="11" width="17.46484375" style="264" customWidth="1"/>
    <col min="12" max="12" width="17.46484375" style="297" customWidth="1"/>
    <col min="13" max="13" width="14.46484375" style="271" customWidth="1"/>
    <col min="14" max="14" width="37" style="271" hidden="1" customWidth="1"/>
    <col min="15" max="15" width="49.46484375" style="298" bestFit="1" customWidth="1"/>
    <col min="16" max="16384" width="9.19921875" style="264"/>
  </cols>
  <sheetData>
    <row r="1" spans="1:15" ht="13.15" x14ac:dyDescent="0.4">
      <c r="A1" s="464" t="s">
        <v>89</v>
      </c>
      <c r="B1" s="464"/>
      <c r="C1" s="464"/>
      <c r="D1" s="464"/>
      <c r="E1" s="464"/>
      <c r="F1" s="464"/>
      <c r="G1" s="464"/>
      <c r="H1" s="464"/>
      <c r="I1" s="464"/>
      <c r="J1" s="464"/>
      <c r="K1" s="464"/>
      <c r="L1" s="464"/>
      <c r="M1" s="263"/>
      <c r="N1" s="263" t="s">
        <v>90</v>
      </c>
      <c r="O1" s="263" t="s">
        <v>91</v>
      </c>
    </row>
    <row r="2" spans="1:15" ht="15" customHeight="1" x14ac:dyDescent="0.4">
      <c r="A2" s="265" t="s">
        <v>1</v>
      </c>
      <c r="B2" s="266"/>
      <c r="C2" s="265">
        <v>2021</v>
      </c>
      <c r="D2" s="265">
        <v>2022</v>
      </c>
      <c r="E2" s="265">
        <v>2022</v>
      </c>
      <c r="F2" s="265">
        <v>2023</v>
      </c>
      <c r="G2" s="265">
        <v>2023</v>
      </c>
      <c r="H2" s="265">
        <v>2024</v>
      </c>
      <c r="I2" s="265">
        <v>2024</v>
      </c>
      <c r="J2" s="265" t="s">
        <v>92</v>
      </c>
      <c r="K2" s="265">
        <v>2025</v>
      </c>
      <c r="L2" s="265">
        <v>2026</v>
      </c>
      <c r="M2" s="265">
        <v>2027</v>
      </c>
      <c r="N2" s="267"/>
      <c r="O2" s="268"/>
    </row>
    <row r="3" spans="1:15" ht="15" customHeight="1" x14ac:dyDescent="0.4">
      <c r="A3" s="265" t="s">
        <v>5</v>
      </c>
      <c r="B3" s="265" t="s">
        <v>6</v>
      </c>
      <c r="C3" s="265" t="s">
        <v>7</v>
      </c>
      <c r="D3" s="265" t="s">
        <v>8</v>
      </c>
      <c r="E3" s="265" t="s">
        <v>9</v>
      </c>
      <c r="F3" s="265" t="s">
        <v>10</v>
      </c>
      <c r="G3" s="265" t="s">
        <v>9</v>
      </c>
      <c r="H3" s="265" t="s">
        <v>8</v>
      </c>
      <c r="I3" s="265" t="s">
        <v>7</v>
      </c>
      <c r="J3" s="265" t="s">
        <v>11</v>
      </c>
      <c r="K3" s="265" t="s">
        <v>7</v>
      </c>
      <c r="L3" s="265" t="s">
        <v>7</v>
      </c>
      <c r="M3" s="265" t="s">
        <v>7</v>
      </c>
      <c r="N3" s="267"/>
      <c r="O3" s="268"/>
    </row>
    <row r="4" spans="1:15" ht="15" customHeight="1" x14ac:dyDescent="0.4">
      <c r="A4" s="465" t="s">
        <v>12</v>
      </c>
      <c r="B4" s="466"/>
      <c r="C4" s="466"/>
      <c r="D4" s="466"/>
      <c r="E4" s="466"/>
      <c r="F4" s="466"/>
      <c r="G4" s="466"/>
      <c r="H4" s="266"/>
      <c r="I4" s="269"/>
      <c r="J4" s="269"/>
      <c r="K4" s="269"/>
      <c r="L4" s="269"/>
      <c r="M4" s="270"/>
      <c r="O4" s="268"/>
    </row>
    <row r="5" spans="1:15" ht="25.5" x14ac:dyDescent="0.35">
      <c r="A5" s="272" t="s">
        <v>93</v>
      </c>
      <c r="B5" s="272" t="s">
        <v>94</v>
      </c>
      <c r="C5" s="80">
        <v>25000</v>
      </c>
      <c r="D5" s="273">
        <v>30250</v>
      </c>
      <c r="E5" s="80">
        <v>25000</v>
      </c>
      <c r="F5" s="273">
        <v>45000</v>
      </c>
      <c r="G5" s="273">
        <v>39000</v>
      </c>
      <c r="H5" s="273">
        <v>41350</v>
      </c>
      <c r="I5" s="80">
        <f>13*3000+2500</f>
        <v>41500</v>
      </c>
      <c r="J5" s="80">
        <v>56000</v>
      </c>
      <c r="K5" s="80">
        <f>13*3000</f>
        <v>39000</v>
      </c>
      <c r="L5" s="80">
        <v>46500</v>
      </c>
      <c r="M5" s="274">
        <v>60000</v>
      </c>
      <c r="N5" s="271" t="s">
        <v>95</v>
      </c>
      <c r="O5" s="268" t="s">
        <v>96</v>
      </c>
    </row>
    <row r="6" spans="1:15" ht="15" customHeight="1" x14ac:dyDescent="0.35">
      <c r="A6" s="272" t="s">
        <v>97</v>
      </c>
      <c r="B6" s="272" t="s">
        <v>98</v>
      </c>
      <c r="C6" s="80">
        <v>2285</v>
      </c>
      <c r="D6" s="275">
        <v>1017.5</v>
      </c>
      <c r="E6" s="80">
        <v>2250</v>
      </c>
      <c r="F6" s="275">
        <v>1485</v>
      </c>
      <c r="G6" s="275">
        <v>1000</v>
      </c>
      <c r="H6" s="275">
        <v>550</v>
      </c>
      <c r="I6" s="80">
        <v>1250</v>
      </c>
      <c r="J6" s="80">
        <v>160</v>
      </c>
      <c r="K6" s="80">
        <v>500</v>
      </c>
      <c r="L6" s="80">
        <v>200</v>
      </c>
      <c r="M6" s="276">
        <v>200</v>
      </c>
      <c r="O6" s="268"/>
    </row>
    <row r="7" spans="1:15" ht="38.25" x14ac:dyDescent="0.35">
      <c r="A7" s="272" t="s">
        <v>99</v>
      </c>
      <c r="B7" s="272" t="s">
        <v>100</v>
      </c>
      <c r="C7" s="80">
        <v>163682</v>
      </c>
      <c r="D7" s="275">
        <v>432810</v>
      </c>
      <c r="E7" s="80">
        <v>345000</v>
      </c>
      <c r="F7" s="275">
        <v>483985</v>
      </c>
      <c r="G7" s="275">
        <v>395000</v>
      </c>
      <c r="H7" s="275">
        <v>542430</v>
      </c>
      <c r="I7" s="80">
        <f>600*790</f>
        <v>474000</v>
      </c>
      <c r="J7" s="80">
        <v>627140</v>
      </c>
      <c r="K7" s="80">
        <f>650*790</f>
        <v>513500</v>
      </c>
      <c r="L7" s="80">
        <v>581000</v>
      </c>
      <c r="M7" s="274">
        <v>581000</v>
      </c>
      <c r="N7" s="271" t="s">
        <v>101</v>
      </c>
      <c r="O7" s="268" t="s">
        <v>102</v>
      </c>
    </row>
    <row r="8" spans="1:15" ht="15" customHeight="1" x14ac:dyDescent="0.35">
      <c r="A8" s="277">
        <v>9015</v>
      </c>
      <c r="B8" s="272" t="s">
        <v>103</v>
      </c>
      <c r="C8" s="80"/>
      <c r="D8" s="275"/>
      <c r="E8" s="80"/>
      <c r="F8" s="275"/>
      <c r="G8" s="275"/>
      <c r="H8" s="275"/>
      <c r="I8" s="80"/>
      <c r="J8" s="80"/>
      <c r="K8" s="80">
        <f>250*150</f>
        <v>37500</v>
      </c>
      <c r="L8" s="80">
        <v>37500</v>
      </c>
      <c r="M8" s="274">
        <v>37500</v>
      </c>
      <c r="O8" s="278" t="s">
        <v>104</v>
      </c>
    </row>
    <row r="9" spans="1:15" ht="25.5" x14ac:dyDescent="0.35">
      <c r="A9" s="272" t="s">
        <v>105</v>
      </c>
      <c r="B9" s="272" t="s">
        <v>106</v>
      </c>
      <c r="C9" s="80">
        <v>11500</v>
      </c>
      <c r="D9" s="275">
        <v>12000</v>
      </c>
      <c r="E9" s="80">
        <v>12000</v>
      </c>
      <c r="F9" s="275">
        <v>18900</v>
      </c>
      <c r="G9" s="275">
        <v>12000</v>
      </c>
      <c r="H9" s="275">
        <v>36400</v>
      </c>
      <c r="I9" s="80">
        <v>16000</v>
      </c>
      <c r="J9" s="80">
        <v>47200</v>
      </c>
      <c r="K9" s="80">
        <v>25000</v>
      </c>
      <c r="L9" s="80">
        <v>100000</v>
      </c>
      <c r="M9" s="274">
        <v>100000</v>
      </c>
      <c r="N9" s="271" t="s">
        <v>107</v>
      </c>
      <c r="O9" s="268" t="s">
        <v>108</v>
      </c>
    </row>
    <row r="10" spans="1:15" ht="25.5" x14ac:dyDescent="0.35">
      <c r="A10" s="272" t="s">
        <v>109</v>
      </c>
      <c r="B10" s="272" t="s">
        <v>110</v>
      </c>
      <c r="C10" s="80">
        <v>68625</v>
      </c>
      <c r="D10" s="275">
        <v>108985</v>
      </c>
      <c r="E10" s="80">
        <v>105000</v>
      </c>
      <c r="F10" s="275">
        <v>99350</v>
      </c>
      <c r="G10" s="275">
        <v>82250</v>
      </c>
      <c r="H10" s="275">
        <v>219900</v>
      </c>
      <c r="I10" s="80">
        <f>2250*55</f>
        <v>123750</v>
      </c>
      <c r="J10" s="80">
        <v>303065</v>
      </c>
      <c r="K10" s="80">
        <f>100*2600</f>
        <v>260000</v>
      </c>
      <c r="L10" s="80">
        <v>290000</v>
      </c>
      <c r="M10" s="274">
        <v>290000</v>
      </c>
      <c r="N10" s="271" t="s">
        <v>111</v>
      </c>
      <c r="O10" s="268" t="s">
        <v>112</v>
      </c>
    </row>
    <row r="11" spans="1:15" ht="15" customHeight="1" x14ac:dyDescent="0.4">
      <c r="A11" s="79"/>
      <c r="B11" s="79" t="s">
        <v>17</v>
      </c>
      <c r="C11" s="81">
        <v>271092</v>
      </c>
      <c r="D11" s="279">
        <v>585062.5</v>
      </c>
      <c r="E11" s="81">
        <f>SUM(E5:E10)</f>
        <v>489250</v>
      </c>
      <c r="F11" s="279">
        <v>648720</v>
      </c>
      <c r="G11" s="279">
        <v>529250</v>
      </c>
      <c r="H11" s="279">
        <f t="shared" ref="H11:M11" si="0">SUM(H5:H10)</f>
        <v>840630</v>
      </c>
      <c r="I11" s="81">
        <f t="shared" si="0"/>
        <v>656500</v>
      </c>
      <c r="J11" s="81">
        <f t="shared" si="0"/>
        <v>1033565</v>
      </c>
      <c r="K11" s="81">
        <f>SUM(K5:K10)</f>
        <v>875500</v>
      </c>
      <c r="L11" s="81">
        <f>SUM(L5:L10)</f>
        <v>1055200</v>
      </c>
      <c r="M11" s="81">
        <f t="shared" si="0"/>
        <v>1068700</v>
      </c>
      <c r="N11" s="280"/>
      <c r="O11" s="281"/>
    </row>
    <row r="12" spans="1:15" ht="15" customHeight="1" x14ac:dyDescent="0.4">
      <c r="A12" s="79"/>
      <c r="B12" s="79"/>
      <c r="C12" s="282"/>
      <c r="D12" s="282"/>
      <c r="E12" s="282"/>
      <c r="F12" s="282"/>
      <c r="G12" s="282"/>
      <c r="H12" s="282"/>
      <c r="I12" s="269"/>
      <c r="J12" s="269"/>
      <c r="K12" s="269"/>
      <c r="L12" s="269"/>
      <c r="M12" s="270"/>
      <c r="O12" s="268"/>
    </row>
    <row r="13" spans="1:15" ht="15" customHeight="1" x14ac:dyDescent="0.4">
      <c r="A13" s="465" t="s">
        <v>18</v>
      </c>
      <c r="B13" s="466"/>
      <c r="C13" s="466"/>
      <c r="D13" s="466"/>
      <c r="E13" s="466"/>
      <c r="F13" s="466"/>
      <c r="G13" s="466"/>
      <c r="H13" s="266"/>
      <c r="I13" s="269"/>
      <c r="J13" s="269"/>
      <c r="K13" s="269"/>
      <c r="L13" s="269"/>
      <c r="M13" s="270"/>
      <c r="O13" s="268"/>
    </row>
    <row r="14" spans="1:15" ht="15" customHeight="1" x14ac:dyDescent="0.35">
      <c r="A14" s="272" t="s">
        <v>19</v>
      </c>
      <c r="B14" s="272" t="s">
        <v>20</v>
      </c>
      <c r="C14" s="80">
        <v>0</v>
      </c>
      <c r="D14" s="275">
        <v>2.11</v>
      </c>
      <c r="E14" s="80">
        <v>250</v>
      </c>
      <c r="F14" s="275">
        <v>0</v>
      </c>
      <c r="G14" s="275">
        <v>150</v>
      </c>
      <c r="H14" s="275">
        <v>0</v>
      </c>
      <c r="I14" s="80">
        <v>50</v>
      </c>
      <c r="J14" s="80">
        <v>76.84</v>
      </c>
      <c r="K14" s="80">
        <v>50</v>
      </c>
      <c r="L14" s="283">
        <v>100</v>
      </c>
      <c r="M14" s="276">
        <v>100</v>
      </c>
      <c r="O14" s="268"/>
    </row>
    <row r="15" spans="1:15" ht="15" customHeight="1" x14ac:dyDescent="0.35">
      <c r="A15" s="272" t="s">
        <v>113</v>
      </c>
      <c r="B15" s="272" t="s">
        <v>114</v>
      </c>
      <c r="C15" s="80">
        <v>4050.23</v>
      </c>
      <c r="D15" s="275">
        <v>4325.32</v>
      </c>
      <c r="E15" s="80">
        <v>5500</v>
      </c>
      <c r="F15" s="275">
        <v>5729.13</v>
      </c>
      <c r="G15" s="275">
        <v>5500</v>
      </c>
      <c r="H15" s="275">
        <v>6791.91</v>
      </c>
      <c r="I15" s="80">
        <v>5500</v>
      </c>
      <c r="J15" s="80">
        <v>4824.8500000000004</v>
      </c>
      <c r="K15" s="80">
        <v>6800</v>
      </c>
      <c r="L15" s="80">
        <v>5500</v>
      </c>
      <c r="M15" s="274">
        <v>6000</v>
      </c>
      <c r="O15" s="268" t="s">
        <v>115</v>
      </c>
    </row>
    <row r="16" spans="1:15" ht="15" customHeight="1" x14ac:dyDescent="0.35">
      <c r="A16" s="272" t="s">
        <v>116</v>
      </c>
      <c r="B16" s="272" t="s">
        <v>117</v>
      </c>
      <c r="C16" s="80">
        <v>0</v>
      </c>
      <c r="D16" s="275">
        <v>1601.74</v>
      </c>
      <c r="E16" s="80">
        <v>3000</v>
      </c>
      <c r="F16" s="275">
        <v>2726.11</v>
      </c>
      <c r="G16" s="275">
        <v>3000</v>
      </c>
      <c r="H16" s="275">
        <v>696.34</v>
      </c>
      <c r="I16" s="80">
        <v>3000</v>
      </c>
      <c r="J16" s="80">
        <v>3337.41</v>
      </c>
      <c r="K16" s="80">
        <v>1000</v>
      </c>
      <c r="L16" s="80">
        <v>1250</v>
      </c>
      <c r="M16" s="274">
        <v>1200</v>
      </c>
      <c r="O16" s="268"/>
    </row>
    <row r="17" spans="1:15" ht="15" customHeight="1" x14ac:dyDescent="0.35">
      <c r="A17" s="272">
        <v>5221</v>
      </c>
      <c r="B17" s="272" t="s">
        <v>118</v>
      </c>
      <c r="C17" s="80"/>
      <c r="D17" s="275"/>
      <c r="E17" s="80"/>
      <c r="F17" s="275"/>
      <c r="G17" s="275"/>
      <c r="H17" s="275">
        <v>800.5</v>
      </c>
      <c r="I17" s="80"/>
      <c r="J17" s="80"/>
      <c r="K17" s="80"/>
      <c r="L17" s="80">
        <v>15000</v>
      </c>
      <c r="M17" s="274">
        <v>15000</v>
      </c>
      <c r="O17" s="268" t="s">
        <v>119</v>
      </c>
    </row>
    <row r="18" spans="1:15" ht="15" customHeight="1" x14ac:dyDescent="0.35">
      <c r="A18" s="272" t="s">
        <v>22</v>
      </c>
      <c r="B18" s="272" t="s">
        <v>23</v>
      </c>
      <c r="C18" s="80">
        <v>1396.97</v>
      </c>
      <c r="D18" s="275">
        <v>1593.36</v>
      </c>
      <c r="E18" s="80">
        <v>0</v>
      </c>
      <c r="F18" s="275">
        <v>1114.69</v>
      </c>
      <c r="G18" s="275">
        <v>2000</v>
      </c>
      <c r="H18" s="275">
        <v>2463.13</v>
      </c>
      <c r="I18" s="80">
        <v>1500</v>
      </c>
      <c r="J18" s="80">
        <v>645.66</v>
      </c>
      <c r="K18" s="80">
        <v>2600</v>
      </c>
      <c r="L18" s="80">
        <v>500</v>
      </c>
      <c r="M18" s="276">
        <v>500</v>
      </c>
      <c r="O18" s="268"/>
    </row>
    <row r="19" spans="1:15" ht="15" customHeight="1" x14ac:dyDescent="0.4">
      <c r="A19" s="272" t="s">
        <v>120</v>
      </c>
      <c r="B19" s="272" t="s">
        <v>121</v>
      </c>
      <c r="C19" s="80">
        <v>0</v>
      </c>
      <c r="D19" s="275">
        <v>4229.47</v>
      </c>
      <c r="E19" s="80">
        <v>1500</v>
      </c>
      <c r="F19" s="275">
        <v>0</v>
      </c>
      <c r="G19" s="275">
        <v>4500</v>
      </c>
      <c r="H19" s="275">
        <v>2886.88</v>
      </c>
      <c r="I19" s="80">
        <v>5000</v>
      </c>
      <c r="J19" s="80"/>
      <c r="K19" s="80">
        <v>3500</v>
      </c>
      <c r="L19" s="80">
        <v>3500</v>
      </c>
      <c r="M19" s="274">
        <v>3500</v>
      </c>
      <c r="O19" s="284"/>
    </row>
    <row r="20" spans="1:15" ht="15" customHeight="1" x14ac:dyDescent="0.35">
      <c r="A20" s="272" t="s">
        <v>25</v>
      </c>
      <c r="B20" s="272" t="s">
        <v>26</v>
      </c>
      <c r="C20" s="80">
        <v>1088.6500000000001</v>
      </c>
      <c r="D20" s="275">
        <v>2157.4499999999998</v>
      </c>
      <c r="E20" s="80">
        <v>3000</v>
      </c>
      <c r="F20" s="275">
        <v>2104.5300000000002</v>
      </c>
      <c r="G20" s="275">
        <v>3000</v>
      </c>
      <c r="H20" s="275">
        <v>0</v>
      </c>
      <c r="I20" s="80">
        <v>2500</v>
      </c>
      <c r="J20" s="80">
        <v>7.82</v>
      </c>
      <c r="K20" s="80">
        <v>1000</v>
      </c>
      <c r="L20" s="80">
        <v>5000</v>
      </c>
      <c r="M20" s="274">
        <v>5000</v>
      </c>
      <c r="O20" s="268" t="s">
        <v>122</v>
      </c>
    </row>
    <row r="21" spans="1:15" ht="15" customHeight="1" x14ac:dyDescent="0.35">
      <c r="A21" s="272" t="s">
        <v>73</v>
      </c>
      <c r="B21" s="272" t="s">
        <v>28</v>
      </c>
      <c r="C21" s="80">
        <v>6056.57</v>
      </c>
      <c r="D21" s="275">
        <v>0</v>
      </c>
      <c r="E21" s="80">
        <v>1000</v>
      </c>
      <c r="F21" s="275">
        <v>8536.2900000000009</v>
      </c>
      <c r="G21" s="275">
        <v>14400</v>
      </c>
      <c r="H21" s="285">
        <v>7521.6</v>
      </c>
      <c r="I21" s="80">
        <v>10000</v>
      </c>
      <c r="J21" s="80">
        <v>16198.43</v>
      </c>
      <c r="K21" s="80">
        <v>11000</v>
      </c>
      <c r="L21" s="80">
        <v>15000</v>
      </c>
      <c r="M21" s="274">
        <v>15000</v>
      </c>
      <c r="N21" s="271" t="s">
        <v>123</v>
      </c>
      <c r="O21" s="268" t="s">
        <v>124</v>
      </c>
    </row>
    <row r="22" spans="1:15" ht="25.5" x14ac:dyDescent="0.35">
      <c r="A22" s="272" t="s">
        <v>125</v>
      </c>
      <c r="B22" s="272" t="s">
        <v>126</v>
      </c>
      <c r="C22" s="80">
        <v>105996.23</v>
      </c>
      <c r="D22" s="275">
        <v>7196.36</v>
      </c>
      <c r="E22" s="80">
        <v>8500</v>
      </c>
      <c r="F22" s="275">
        <v>82756.929999999993</v>
      </c>
      <c r="G22" s="275">
        <v>8500</v>
      </c>
      <c r="H22" s="275">
        <v>116477.45</v>
      </c>
      <c r="I22" s="80">
        <v>100000</v>
      </c>
      <c r="J22" s="80">
        <v>155349.41</v>
      </c>
      <c r="K22" s="80">
        <v>125000</v>
      </c>
      <c r="L22" s="80">
        <v>125000</v>
      </c>
      <c r="M22" s="274">
        <v>125000</v>
      </c>
      <c r="O22" s="278" t="s">
        <v>127</v>
      </c>
    </row>
    <row r="23" spans="1:15" x14ac:dyDescent="0.35">
      <c r="A23" s="272" t="s">
        <v>128</v>
      </c>
      <c r="B23" s="272" t="s">
        <v>129</v>
      </c>
      <c r="C23" s="80">
        <v>30000</v>
      </c>
      <c r="D23" s="275">
        <v>69958.39</v>
      </c>
      <c r="E23" s="80">
        <v>75000</v>
      </c>
      <c r="F23" s="275">
        <v>20570.72</v>
      </c>
      <c r="G23" s="275">
        <v>75000</v>
      </c>
      <c r="H23" s="275">
        <v>17374.259999999998</v>
      </c>
      <c r="I23" s="80">
        <v>25000</v>
      </c>
      <c r="J23" s="80">
        <v>18640.3</v>
      </c>
      <c r="K23" s="80">
        <v>21000</v>
      </c>
      <c r="L23" s="80">
        <v>20000</v>
      </c>
      <c r="M23" s="274">
        <v>20000</v>
      </c>
      <c r="O23" s="268" t="s">
        <v>130</v>
      </c>
    </row>
    <row r="24" spans="1:15" ht="15" customHeight="1" x14ac:dyDescent="0.35">
      <c r="A24" s="272" t="s">
        <v>131</v>
      </c>
      <c r="B24" s="272" t="s">
        <v>132</v>
      </c>
      <c r="C24" s="80">
        <v>0</v>
      </c>
      <c r="D24" s="275">
        <v>7500</v>
      </c>
      <c r="E24" s="80">
        <v>5000</v>
      </c>
      <c r="F24" s="275">
        <v>6265.19</v>
      </c>
      <c r="G24" s="275">
        <v>7500</v>
      </c>
      <c r="H24" s="275">
        <v>9293.2099999999991</v>
      </c>
      <c r="I24" s="80">
        <v>6500</v>
      </c>
      <c r="J24" s="80">
        <v>10905.36</v>
      </c>
      <c r="K24" s="80">
        <v>9500</v>
      </c>
      <c r="L24" s="80">
        <v>12000</v>
      </c>
      <c r="M24" s="274">
        <v>12000</v>
      </c>
      <c r="N24" s="271" t="s">
        <v>133</v>
      </c>
      <c r="O24" s="268" t="s">
        <v>133</v>
      </c>
    </row>
    <row r="25" spans="1:15" ht="15" customHeight="1" x14ac:dyDescent="0.35">
      <c r="A25" s="272" t="s">
        <v>134</v>
      </c>
      <c r="B25" s="272" t="s">
        <v>135</v>
      </c>
      <c r="C25" s="80">
        <v>1403.63</v>
      </c>
      <c r="D25" s="275">
        <v>0</v>
      </c>
      <c r="E25" s="80">
        <v>500</v>
      </c>
      <c r="F25" s="275">
        <v>0</v>
      </c>
      <c r="G25" s="275">
        <v>1500</v>
      </c>
      <c r="H25" s="275">
        <v>1635.3</v>
      </c>
      <c r="I25" s="80">
        <v>1500</v>
      </c>
      <c r="J25" s="80">
        <v>0</v>
      </c>
      <c r="K25" s="80">
        <v>1700</v>
      </c>
      <c r="L25" s="80">
        <v>6000</v>
      </c>
      <c r="M25" s="274">
        <v>6000</v>
      </c>
      <c r="O25" s="268" t="s">
        <v>136</v>
      </c>
    </row>
    <row r="26" spans="1:15" ht="15" customHeight="1" x14ac:dyDescent="0.35">
      <c r="A26" s="272" t="s">
        <v>137</v>
      </c>
      <c r="B26" s="272" t="s">
        <v>138</v>
      </c>
      <c r="C26" s="80">
        <v>2834.23</v>
      </c>
      <c r="D26" s="275">
        <v>260.22000000000003</v>
      </c>
      <c r="E26" s="80">
        <v>2000</v>
      </c>
      <c r="F26" s="275">
        <v>12503.04</v>
      </c>
      <c r="G26" s="275">
        <v>2000</v>
      </c>
      <c r="H26" s="275">
        <v>15020.95</v>
      </c>
      <c r="I26" s="80">
        <v>20000</v>
      </c>
      <c r="J26" s="80">
        <v>27569.23</v>
      </c>
      <c r="K26" s="80">
        <v>20000</v>
      </c>
      <c r="L26" s="80">
        <v>25000</v>
      </c>
      <c r="M26" s="274">
        <v>25000</v>
      </c>
      <c r="O26" s="268"/>
    </row>
    <row r="27" spans="1:15" x14ac:dyDescent="0.35">
      <c r="A27" s="272" t="s">
        <v>139</v>
      </c>
      <c r="B27" s="272" t="s">
        <v>140</v>
      </c>
      <c r="C27" s="80">
        <v>44105.73</v>
      </c>
      <c r="D27" s="275">
        <v>12067.25</v>
      </c>
      <c r="E27" s="80">
        <v>15000</v>
      </c>
      <c r="F27" s="275">
        <v>391278.06</v>
      </c>
      <c r="G27" s="275">
        <v>280000</v>
      </c>
      <c r="H27" s="275">
        <v>443569.83</v>
      </c>
      <c r="I27" s="80">
        <f>(600*450)+(280*300)</f>
        <v>354000</v>
      </c>
      <c r="J27" s="80">
        <v>532795.82999999996</v>
      </c>
      <c r="K27" s="80">
        <v>500000</v>
      </c>
      <c r="L27" s="80">
        <v>525000</v>
      </c>
      <c r="M27" s="274">
        <v>525000</v>
      </c>
      <c r="O27" s="278" t="s">
        <v>141</v>
      </c>
    </row>
    <row r="28" spans="1:15" ht="25.5" x14ac:dyDescent="0.35">
      <c r="A28" s="272" t="s">
        <v>76</v>
      </c>
      <c r="B28" s="272" t="s">
        <v>77</v>
      </c>
      <c r="C28" s="80"/>
      <c r="D28" s="275">
        <v>277054.01</v>
      </c>
      <c r="E28" s="80"/>
      <c r="F28" s="275">
        <v>554.08000000000004</v>
      </c>
      <c r="G28" s="275">
        <v>0</v>
      </c>
      <c r="H28" s="275">
        <v>0</v>
      </c>
      <c r="I28" s="80">
        <v>1500</v>
      </c>
      <c r="J28" s="80"/>
      <c r="K28" s="80"/>
      <c r="L28" s="80">
        <v>4500</v>
      </c>
      <c r="M28" s="274">
        <v>4500</v>
      </c>
      <c r="N28" s="271" t="s">
        <v>142</v>
      </c>
      <c r="O28" s="268" t="s">
        <v>143</v>
      </c>
    </row>
    <row r="29" spans="1:15" ht="15" customHeight="1" x14ac:dyDescent="0.35">
      <c r="A29" s="272" t="s">
        <v>144</v>
      </c>
      <c r="B29" s="272" t="s">
        <v>145</v>
      </c>
      <c r="C29" s="80">
        <v>148.88999999999999</v>
      </c>
      <c r="D29" s="275">
        <v>0</v>
      </c>
      <c r="E29" s="80">
        <v>281000</v>
      </c>
      <c r="F29" s="275">
        <v>4469.8999999999996</v>
      </c>
      <c r="G29" s="275">
        <v>15000</v>
      </c>
      <c r="H29" s="275">
        <v>1562.4</v>
      </c>
      <c r="I29" s="80">
        <v>5000</v>
      </c>
      <c r="J29" s="80">
        <v>7210.9</v>
      </c>
      <c r="K29" s="80">
        <v>2500</v>
      </c>
      <c r="L29" s="80">
        <v>3500</v>
      </c>
      <c r="M29" s="274">
        <v>3500</v>
      </c>
      <c r="N29" s="271" t="s">
        <v>146</v>
      </c>
      <c r="O29" s="286"/>
    </row>
    <row r="30" spans="1:15" ht="25.5" x14ac:dyDescent="0.35">
      <c r="A30" s="272" t="s">
        <v>147</v>
      </c>
      <c r="B30" s="272" t="s">
        <v>148</v>
      </c>
      <c r="C30" s="80">
        <v>79165.75</v>
      </c>
      <c r="D30" s="275">
        <v>41250</v>
      </c>
      <c r="E30" s="80">
        <v>60000</v>
      </c>
      <c r="F30" s="275">
        <v>12500</v>
      </c>
      <c r="G30" s="275">
        <v>3000</v>
      </c>
      <c r="H30" s="275">
        <v>48700</v>
      </c>
      <c r="I30" s="80">
        <f>(7500*3)+(1500*15)+22500</f>
        <v>67500</v>
      </c>
      <c r="J30" s="80">
        <v>74000</v>
      </c>
      <c r="K30" s="80">
        <f>(3*7500)+(18*1500)+31000+15000</f>
        <v>95500</v>
      </c>
      <c r="L30" s="287">
        <v>150000</v>
      </c>
      <c r="M30" s="288">
        <v>150000</v>
      </c>
      <c r="N30" s="289" t="s">
        <v>149</v>
      </c>
      <c r="O30" s="290" t="s">
        <v>150</v>
      </c>
    </row>
    <row r="31" spans="1:15" ht="25.5" x14ac:dyDescent="0.35">
      <c r="A31" s="272" t="s">
        <v>151</v>
      </c>
      <c r="B31" s="272" t="s">
        <v>152</v>
      </c>
      <c r="C31" s="80">
        <v>0</v>
      </c>
      <c r="D31" s="275">
        <v>1510.69</v>
      </c>
      <c r="E31" s="80">
        <v>500</v>
      </c>
      <c r="F31" s="275">
        <v>37065.9</v>
      </c>
      <c r="G31" s="275">
        <v>60000</v>
      </c>
      <c r="H31" s="275">
        <v>3185.9</v>
      </c>
      <c r="I31" s="80">
        <v>12500</v>
      </c>
      <c r="J31" s="80">
        <v>5054.41</v>
      </c>
      <c r="K31" s="80">
        <v>7500</v>
      </c>
      <c r="L31" s="80">
        <v>20000</v>
      </c>
      <c r="M31" s="274">
        <v>20000</v>
      </c>
      <c r="N31" s="271" t="s">
        <v>153</v>
      </c>
      <c r="O31" s="268" t="s">
        <v>154</v>
      </c>
    </row>
    <row r="32" spans="1:15" ht="15" customHeight="1" x14ac:dyDescent="0.35">
      <c r="A32" s="272" t="s">
        <v>155</v>
      </c>
      <c r="B32" s="272" t="s">
        <v>156</v>
      </c>
      <c r="C32" s="80">
        <v>187</v>
      </c>
      <c r="D32" s="275"/>
      <c r="E32" s="80">
        <v>6000</v>
      </c>
      <c r="F32" s="275">
        <v>0</v>
      </c>
      <c r="G32" s="275">
        <v>6000</v>
      </c>
      <c r="H32" s="275">
        <v>0</v>
      </c>
      <c r="I32" s="80">
        <v>2500</v>
      </c>
      <c r="J32" s="80"/>
      <c r="K32" s="80">
        <v>0</v>
      </c>
      <c r="L32" s="80"/>
      <c r="M32" s="276"/>
      <c r="O32" s="268"/>
    </row>
    <row r="33" spans="1:15" ht="38.65" x14ac:dyDescent="0.4">
      <c r="A33" s="272">
        <v>9016</v>
      </c>
      <c r="B33" s="291" t="s">
        <v>641</v>
      </c>
      <c r="C33" s="80"/>
      <c r="D33" s="275"/>
      <c r="E33" s="80"/>
      <c r="F33" s="275"/>
      <c r="G33" s="275"/>
      <c r="H33" s="275"/>
      <c r="I33" s="80"/>
      <c r="J33" s="80"/>
      <c r="K33" s="80"/>
      <c r="L33" s="292">
        <v>100000</v>
      </c>
      <c r="M33" s="274">
        <v>50000</v>
      </c>
      <c r="O33" s="268" t="s">
        <v>157</v>
      </c>
    </row>
    <row r="34" spans="1:15" ht="13.15" x14ac:dyDescent="0.4">
      <c r="A34" s="272">
        <v>5320</v>
      </c>
      <c r="B34" s="291" t="s">
        <v>585</v>
      </c>
      <c r="C34" s="80"/>
      <c r="D34" s="275"/>
      <c r="E34" s="80"/>
      <c r="F34" s="275"/>
      <c r="G34" s="275"/>
      <c r="H34" s="275"/>
      <c r="I34" s="80"/>
      <c r="J34" s="80"/>
      <c r="K34" s="80"/>
      <c r="L34" s="292">
        <v>20000</v>
      </c>
      <c r="M34" s="274">
        <v>20000</v>
      </c>
      <c r="O34" s="268" t="s">
        <v>158</v>
      </c>
    </row>
    <row r="35" spans="1:15" ht="15" customHeight="1" x14ac:dyDescent="0.35">
      <c r="A35" s="293">
        <v>5512</v>
      </c>
      <c r="B35" s="272" t="s">
        <v>159</v>
      </c>
      <c r="C35" s="294"/>
      <c r="D35" s="275"/>
      <c r="E35" s="80"/>
      <c r="F35" s="275"/>
      <c r="G35" s="275"/>
      <c r="H35" s="275"/>
      <c r="I35" s="80"/>
      <c r="J35" s="80">
        <v>38957.769999999997</v>
      </c>
      <c r="K35" s="80">
        <f>18761+7500</f>
        <v>26261</v>
      </c>
      <c r="L35" s="80">
        <v>40000</v>
      </c>
      <c r="M35" s="274">
        <v>40000</v>
      </c>
      <c r="O35" s="268"/>
    </row>
    <row r="36" spans="1:15" ht="15" customHeight="1" x14ac:dyDescent="0.35">
      <c r="A36" s="277">
        <v>9017</v>
      </c>
      <c r="B36" s="295" t="s">
        <v>160</v>
      </c>
      <c r="C36" s="294"/>
      <c r="D36" s="294"/>
      <c r="E36" s="294"/>
      <c r="F36" s="294"/>
      <c r="G36" s="294"/>
      <c r="H36" s="294"/>
      <c r="I36" s="294"/>
      <c r="J36" s="294"/>
      <c r="K36" s="294"/>
      <c r="L36" s="80">
        <v>15000</v>
      </c>
      <c r="M36" s="274">
        <v>15000</v>
      </c>
      <c r="O36" s="268"/>
    </row>
    <row r="37" spans="1:15" ht="15" customHeight="1" x14ac:dyDescent="0.4">
      <c r="A37" s="79"/>
      <c r="B37" s="79" t="s">
        <v>64</v>
      </c>
      <c r="C37" s="81">
        <v>276433.88</v>
      </c>
      <c r="D37" s="279">
        <v>430706.37</v>
      </c>
      <c r="E37" s="81">
        <f>SUM(E14:E32)</f>
        <v>467750</v>
      </c>
      <c r="F37" s="279">
        <v>588174.56999999995</v>
      </c>
      <c r="G37" s="279">
        <v>491050</v>
      </c>
      <c r="H37" s="279">
        <f>SUM(H14:H36)</f>
        <v>677979.66</v>
      </c>
      <c r="I37" s="81">
        <f>SUM(I14:I32)</f>
        <v>623550</v>
      </c>
      <c r="J37" s="81">
        <f>SUM(J14:J35)</f>
        <v>895574.22000000009</v>
      </c>
      <c r="K37" s="81">
        <f>SUM(K14:K35)</f>
        <v>834911</v>
      </c>
      <c r="L37" s="81">
        <f>SUM(L14:L36)</f>
        <v>1111850</v>
      </c>
      <c r="M37" s="81">
        <f>SUM(M14:M36)</f>
        <v>1062300</v>
      </c>
      <c r="N37" s="280"/>
      <c r="O37" s="268"/>
    </row>
    <row r="38" spans="1:15" ht="15" customHeight="1" x14ac:dyDescent="0.4">
      <c r="A38" s="79"/>
      <c r="B38" s="79"/>
      <c r="C38" s="279"/>
      <c r="D38" s="81"/>
      <c r="E38" s="279"/>
      <c r="F38" s="282"/>
      <c r="G38" s="282"/>
      <c r="H38" s="282"/>
      <c r="I38" s="80"/>
      <c r="J38" s="80"/>
      <c r="K38" s="80"/>
      <c r="L38" s="80"/>
      <c r="M38" s="276"/>
      <c r="O38" s="268"/>
    </row>
    <row r="39" spans="1:15" ht="15" customHeight="1" x14ac:dyDescent="0.4">
      <c r="A39" s="79"/>
      <c r="B39" s="79" t="s">
        <v>65</v>
      </c>
      <c r="C39" s="81">
        <f>C11-C37</f>
        <v>-5341.8800000000047</v>
      </c>
      <c r="D39" s="279">
        <f>D11-D37</f>
        <v>154356.13</v>
      </c>
      <c r="E39" s="81">
        <f>E11-E37</f>
        <v>21500</v>
      </c>
      <c r="F39" s="279">
        <v>60545.43</v>
      </c>
      <c r="G39" s="279">
        <v>38200</v>
      </c>
      <c r="H39" s="279">
        <f t="shared" ref="H39:M39" si="1">H11-H37</f>
        <v>162650.33999999997</v>
      </c>
      <c r="I39" s="81">
        <f t="shared" si="1"/>
        <v>32950</v>
      </c>
      <c r="J39" s="81">
        <f t="shared" si="1"/>
        <v>137990.77999999991</v>
      </c>
      <c r="K39" s="81">
        <f t="shared" si="1"/>
        <v>40589</v>
      </c>
      <c r="L39" s="81">
        <f t="shared" si="1"/>
        <v>-56650</v>
      </c>
      <c r="M39" s="81">
        <f t="shared" si="1"/>
        <v>6400</v>
      </c>
      <c r="N39" s="280"/>
      <c r="O39" s="268"/>
    </row>
    <row r="40" spans="1:15" ht="15" customHeight="1" x14ac:dyDescent="0.4">
      <c r="C40" s="296"/>
      <c r="D40" s="82"/>
      <c r="E40" s="296"/>
    </row>
    <row r="41" spans="1:15" ht="15" customHeight="1" x14ac:dyDescent="0.4">
      <c r="D41" s="299"/>
    </row>
  </sheetData>
  <mergeCells count="3">
    <mergeCell ref="A1:L1"/>
    <mergeCell ref="A4:G4"/>
    <mergeCell ref="A13:G13"/>
  </mergeCells>
  <pageMargins left="0.75" right="0.60000002384185791" top="0" bottom="0" header="0.03" footer="0.03"/>
  <pageSetup scale="90" pageOrder="overThenDown"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EA8B1-9E0B-4EB5-B1D1-C5989262F93F}">
  <dimension ref="A1:O19"/>
  <sheetViews>
    <sheetView topLeftCell="A13" zoomScale="90" zoomScaleNormal="90" workbookViewId="0">
      <selection activeCell="K18" sqref="K18"/>
    </sheetView>
  </sheetViews>
  <sheetFormatPr defaultColWidth="9" defaultRowHeight="12.75" x14ac:dyDescent="0.35"/>
  <cols>
    <col min="1" max="1" width="10" style="1" bestFit="1" customWidth="1"/>
    <col min="2" max="2" width="31.33203125" style="1" bestFit="1" customWidth="1"/>
    <col min="3" max="5" width="11.33203125" style="1" customWidth="1"/>
    <col min="6" max="6" width="13.796875" style="1" customWidth="1"/>
    <col min="7" max="7" width="11.33203125" style="1" customWidth="1"/>
    <col min="8" max="8" width="11" style="1" customWidth="1"/>
    <col min="9" max="10" width="11.33203125" style="1" customWidth="1"/>
    <col min="11" max="11" width="12.46484375" style="1" bestFit="1" customWidth="1"/>
    <col min="12" max="12" width="14.59765625" style="1" customWidth="1"/>
    <col min="13" max="13" width="18.33203125" style="1" customWidth="1"/>
    <col min="14" max="14" width="30.59765625" style="1" customWidth="1"/>
    <col min="15" max="15" width="39.59765625" style="56" customWidth="1"/>
    <col min="16" max="16384" width="9" style="1"/>
  </cols>
  <sheetData>
    <row r="1" spans="1:15" ht="13.15" x14ac:dyDescent="0.4">
      <c r="A1" s="445" t="s">
        <v>66</v>
      </c>
      <c r="B1" s="467"/>
      <c r="C1" s="467"/>
      <c r="D1" s="467"/>
      <c r="E1" s="467"/>
      <c r="F1" s="467"/>
      <c r="G1" s="467"/>
      <c r="H1" s="467"/>
      <c r="I1" s="467"/>
      <c r="J1" s="55"/>
      <c r="K1" s="55"/>
      <c r="L1" s="55"/>
      <c r="M1" s="55"/>
      <c r="N1" s="55"/>
    </row>
    <row r="2" spans="1:15" ht="13.15" x14ac:dyDescent="0.4">
      <c r="A2" s="57" t="s">
        <v>1</v>
      </c>
      <c r="B2" s="58"/>
      <c r="C2" s="57">
        <v>2021</v>
      </c>
      <c r="D2" s="57">
        <v>2022</v>
      </c>
      <c r="E2" s="57">
        <v>2022</v>
      </c>
      <c r="F2" s="57">
        <v>2023</v>
      </c>
      <c r="G2" s="57">
        <v>2023</v>
      </c>
      <c r="H2" s="57">
        <v>2024</v>
      </c>
      <c r="I2" s="57">
        <v>2024</v>
      </c>
      <c r="J2" s="59">
        <v>45870</v>
      </c>
      <c r="K2" s="57">
        <v>2025</v>
      </c>
      <c r="L2" s="57">
        <v>2026</v>
      </c>
      <c r="M2" s="57">
        <v>2027</v>
      </c>
      <c r="N2" s="57" t="s">
        <v>3</v>
      </c>
      <c r="O2" s="60" t="s">
        <v>4</v>
      </c>
    </row>
    <row r="3" spans="1:15" ht="13.15" x14ac:dyDescent="0.4">
      <c r="A3" s="57" t="s">
        <v>5</v>
      </c>
      <c r="B3" s="57" t="s">
        <v>6</v>
      </c>
      <c r="C3" s="57" t="s">
        <v>10</v>
      </c>
      <c r="D3" s="57" t="s">
        <v>8</v>
      </c>
      <c r="E3" s="57" t="s">
        <v>9</v>
      </c>
      <c r="F3" s="57" t="s">
        <v>10</v>
      </c>
      <c r="G3" s="57" t="s">
        <v>9</v>
      </c>
      <c r="H3" s="57" t="s">
        <v>8</v>
      </c>
      <c r="I3" s="57" t="s">
        <v>7</v>
      </c>
      <c r="J3" s="57" t="s">
        <v>11</v>
      </c>
      <c r="K3" s="57" t="s">
        <v>7</v>
      </c>
      <c r="L3" s="57" t="s">
        <v>7</v>
      </c>
      <c r="M3" s="57" t="s">
        <v>7</v>
      </c>
      <c r="N3" s="58"/>
    </row>
    <row r="4" spans="1:15" ht="13.15" x14ac:dyDescent="0.4">
      <c r="A4" s="448" t="s">
        <v>12</v>
      </c>
      <c r="B4" s="468"/>
      <c r="C4" s="468"/>
      <c r="D4" s="468"/>
      <c r="E4" s="468"/>
      <c r="F4" s="468"/>
      <c r="G4" s="468"/>
      <c r="H4" s="3"/>
      <c r="I4" s="3"/>
      <c r="J4" s="3"/>
      <c r="K4" s="3"/>
      <c r="L4" s="3"/>
      <c r="M4" s="3"/>
      <c r="N4" s="3"/>
    </row>
    <row r="5" spans="1:15" ht="13.15" x14ac:dyDescent="0.4">
      <c r="A5" s="9"/>
      <c r="B5" s="58"/>
      <c r="C5" s="27"/>
      <c r="E5" s="61"/>
      <c r="F5" s="27"/>
      <c r="G5" s="27"/>
      <c r="H5" s="27"/>
      <c r="I5" s="3"/>
      <c r="J5" s="3"/>
      <c r="K5" s="3"/>
      <c r="L5" s="3"/>
      <c r="M5" s="3"/>
      <c r="N5" s="3"/>
    </row>
    <row r="6" spans="1:15" ht="13.15" x14ac:dyDescent="0.4">
      <c r="A6" s="448" t="s">
        <v>18</v>
      </c>
      <c r="B6" s="468"/>
      <c r="C6" s="468"/>
      <c r="D6" s="468"/>
      <c r="E6" s="468"/>
      <c r="F6" s="468"/>
      <c r="G6" s="468"/>
      <c r="H6" s="3"/>
      <c r="I6" s="3"/>
      <c r="J6" s="3"/>
      <c r="K6" s="3"/>
      <c r="L6" s="3"/>
      <c r="M6" s="3"/>
      <c r="N6" s="3"/>
    </row>
    <row r="7" spans="1:15" x14ac:dyDescent="0.35">
      <c r="A7" s="18" t="s">
        <v>67</v>
      </c>
      <c r="B7" s="18" t="s">
        <v>68</v>
      </c>
      <c r="C7" s="29">
        <v>57.85</v>
      </c>
      <c r="D7" s="29"/>
      <c r="E7" s="29">
        <v>250</v>
      </c>
      <c r="F7" s="14">
        <v>2626.65</v>
      </c>
      <c r="G7" s="14">
        <v>0</v>
      </c>
      <c r="H7" s="14">
        <v>2742.11</v>
      </c>
      <c r="I7" s="14">
        <v>0</v>
      </c>
      <c r="J7" s="14"/>
      <c r="K7" s="62">
        <v>0</v>
      </c>
      <c r="L7" s="63">
        <v>0</v>
      </c>
      <c r="M7" s="63">
        <v>0</v>
      </c>
      <c r="N7" s="7"/>
      <c r="O7" s="64"/>
    </row>
    <row r="8" spans="1:15" x14ac:dyDescent="0.35">
      <c r="A8" s="18" t="s">
        <v>19</v>
      </c>
      <c r="B8" s="18" t="s">
        <v>20</v>
      </c>
      <c r="C8" s="29">
        <v>43.65</v>
      </c>
      <c r="D8" s="65">
        <f>132.2+49.99</f>
        <v>182.19</v>
      </c>
      <c r="E8" s="29">
        <v>0</v>
      </c>
      <c r="F8" s="19">
        <v>45.9</v>
      </c>
      <c r="G8" s="19">
        <v>0</v>
      </c>
      <c r="H8" s="19">
        <v>210.82</v>
      </c>
      <c r="I8" s="19">
        <v>0</v>
      </c>
      <c r="J8" s="19">
        <v>28.4</v>
      </c>
      <c r="K8" s="62">
        <v>0</v>
      </c>
      <c r="L8" s="63">
        <v>0</v>
      </c>
      <c r="M8" s="63">
        <v>0</v>
      </c>
      <c r="N8" s="7"/>
      <c r="O8" s="64"/>
    </row>
    <row r="9" spans="1:15" x14ac:dyDescent="0.35">
      <c r="A9" s="18" t="s">
        <v>22</v>
      </c>
      <c r="B9" s="18" t="s">
        <v>23</v>
      </c>
      <c r="C9" s="29">
        <v>130.88999999999999</v>
      </c>
      <c r="D9" s="19">
        <v>358.86</v>
      </c>
      <c r="E9" s="29">
        <v>1000</v>
      </c>
      <c r="F9" s="19">
        <v>5.18</v>
      </c>
      <c r="G9" s="19">
        <v>0</v>
      </c>
      <c r="H9" s="19">
        <v>3.78</v>
      </c>
      <c r="I9" s="19">
        <v>0</v>
      </c>
      <c r="J9" s="19"/>
      <c r="K9" s="62">
        <v>0</v>
      </c>
      <c r="L9" s="63">
        <v>0</v>
      </c>
      <c r="M9" s="63">
        <v>0</v>
      </c>
      <c r="N9" s="7"/>
      <c r="O9" s="64"/>
    </row>
    <row r="10" spans="1:15" ht="102" x14ac:dyDescent="0.35">
      <c r="A10" s="18" t="s">
        <v>69</v>
      </c>
      <c r="B10" s="18" t="s">
        <v>70</v>
      </c>
      <c r="C10" s="29">
        <v>75000</v>
      </c>
      <c r="D10" s="19">
        <v>122700</v>
      </c>
      <c r="E10" s="29">
        <f>((90000*0.03)+90000)+30000</f>
        <v>122700</v>
      </c>
      <c r="F10" s="19">
        <v>126381</v>
      </c>
      <c r="G10" s="19">
        <v>126381</v>
      </c>
      <c r="H10" s="19">
        <v>197557.2</v>
      </c>
      <c r="I10" s="66">
        <v>197557.25</v>
      </c>
      <c r="J10" s="66">
        <v>176322.65</v>
      </c>
      <c r="K10" s="67">
        <v>264483.96999999997</v>
      </c>
      <c r="L10" s="262">
        <v>475000</v>
      </c>
      <c r="M10" s="67">
        <v>489250</v>
      </c>
      <c r="N10" s="7" t="s">
        <v>71</v>
      </c>
      <c r="O10" s="68" t="s">
        <v>72</v>
      </c>
    </row>
    <row r="11" spans="1:15" ht="64.150000000000006" x14ac:dyDescent="0.4">
      <c r="A11" s="18" t="s">
        <v>73</v>
      </c>
      <c r="B11" s="18" t="s">
        <v>28</v>
      </c>
      <c r="C11" s="37"/>
      <c r="D11" s="37"/>
      <c r="E11" s="37"/>
      <c r="F11" s="19">
        <v>1127.4000000000001</v>
      </c>
      <c r="G11" s="19">
        <v>14870</v>
      </c>
      <c r="H11" s="19">
        <v>1263.26</v>
      </c>
      <c r="I11" s="19">
        <v>14870</v>
      </c>
      <c r="J11" s="19">
        <v>1469.37</v>
      </c>
      <c r="K11" s="19">
        <v>14870</v>
      </c>
      <c r="L11" s="69">
        <v>50000</v>
      </c>
      <c r="M11" s="69">
        <v>50000</v>
      </c>
      <c r="N11" s="7" t="s">
        <v>74</v>
      </c>
      <c r="O11" s="64" t="s">
        <v>75</v>
      </c>
    </row>
    <row r="12" spans="1:15" ht="306" x14ac:dyDescent="0.35">
      <c r="A12" s="18" t="s">
        <v>76</v>
      </c>
      <c r="B12" s="18" t="s">
        <v>77</v>
      </c>
      <c r="C12" s="29"/>
      <c r="D12" s="65"/>
      <c r="E12" s="29">
        <v>6400</v>
      </c>
      <c r="F12" s="19">
        <v>0</v>
      </c>
      <c r="G12" s="19">
        <v>7250</v>
      </c>
      <c r="H12" s="19">
        <v>0</v>
      </c>
      <c r="I12" s="66">
        <v>7100</v>
      </c>
      <c r="J12" s="66"/>
      <c r="K12" s="66">
        <v>5000</v>
      </c>
      <c r="L12" s="70">
        <v>7500</v>
      </c>
      <c r="M12" s="70">
        <v>7500</v>
      </c>
      <c r="N12" s="7" t="s">
        <v>78</v>
      </c>
      <c r="O12" s="68" t="s">
        <v>79</v>
      </c>
    </row>
    <row r="13" spans="1:15" x14ac:dyDescent="0.35">
      <c r="A13" s="18" t="s">
        <v>37</v>
      </c>
      <c r="B13" s="18" t="s">
        <v>38</v>
      </c>
      <c r="C13" s="29">
        <v>0</v>
      </c>
      <c r="D13" s="29"/>
      <c r="E13" s="29">
        <v>0</v>
      </c>
      <c r="F13" s="19">
        <v>0</v>
      </c>
      <c r="G13" s="19">
        <v>2500</v>
      </c>
      <c r="H13" s="19"/>
      <c r="I13" s="66">
        <v>0</v>
      </c>
      <c r="J13" s="66"/>
      <c r="K13" s="66">
        <v>0</v>
      </c>
      <c r="L13" s="71">
        <v>0</v>
      </c>
      <c r="M13" s="71">
        <v>0</v>
      </c>
      <c r="N13" s="7" t="s">
        <v>80</v>
      </c>
      <c r="O13" s="64" t="s">
        <v>80</v>
      </c>
    </row>
    <row r="14" spans="1:15" ht="25.5" x14ac:dyDescent="0.35">
      <c r="A14" s="18" t="s">
        <v>47</v>
      </c>
      <c r="B14" s="18" t="s">
        <v>48</v>
      </c>
      <c r="C14" s="29">
        <v>10706.36</v>
      </c>
      <c r="D14" s="19">
        <v>26606.04</v>
      </c>
      <c r="E14" s="29">
        <v>25000</v>
      </c>
      <c r="F14" s="19">
        <v>6750</v>
      </c>
      <c r="G14" s="19">
        <v>15600</v>
      </c>
      <c r="H14" s="19">
        <v>3375</v>
      </c>
      <c r="I14" s="66">
        <v>15600</v>
      </c>
      <c r="J14" s="66"/>
      <c r="K14" s="66">
        <v>3000</v>
      </c>
      <c r="L14" s="71">
        <v>0</v>
      </c>
      <c r="M14" s="71">
        <v>0</v>
      </c>
      <c r="N14" s="7" t="s">
        <v>81</v>
      </c>
      <c r="O14" s="64"/>
    </row>
    <row r="15" spans="1:15" ht="25.5" x14ac:dyDescent="0.35">
      <c r="A15" s="18" t="s">
        <v>82</v>
      </c>
      <c r="B15" s="18" t="s">
        <v>83</v>
      </c>
      <c r="C15" s="29">
        <v>22667.45</v>
      </c>
      <c r="D15" s="19">
        <v>45000</v>
      </c>
      <c r="E15" s="29">
        <v>45000</v>
      </c>
      <c r="F15" s="19">
        <v>38640</v>
      </c>
      <c r="G15" s="19">
        <v>38640</v>
      </c>
      <c r="H15" s="19">
        <v>40378.800000000003</v>
      </c>
      <c r="I15" s="66">
        <v>40378.800000000003</v>
      </c>
      <c r="J15" s="66">
        <v>28130.560000000001</v>
      </c>
      <c r="K15" s="72">
        <v>42195.85</v>
      </c>
      <c r="L15" s="73">
        <v>66100</v>
      </c>
      <c r="M15" s="74">
        <v>68100</v>
      </c>
      <c r="N15" s="7" t="s">
        <v>84</v>
      </c>
      <c r="O15" s="64" t="s">
        <v>85</v>
      </c>
    </row>
    <row r="16" spans="1:15" ht="13.15" x14ac:dyDescent="0.4">
      <c r="A16" s="18" t="s">
        <v>86</v>
      </c>
      <c r="B16" s="18" t="s">
        <v>87</v>
      </c>
      <c r="C16" s="51"/>
      <c r="D16" s="51"/>
      <c r="E16" s="51"/>
      <c r="F16" s="19">
        <v>6512.4</v>
      </c>
      <c r="G16" s="19">
        <v>7027.2</v>
      </c>
      <c r="H16" s="19">
        <v>8293.2199999999993</v>
      </c>
      <c r="I16" s="66">
        <v>8616</v>
      </c>
      <c r="J16" s="66">
        <v>6549.17</v>
      </c>
      <c r="K16" s="75">
        <v>9504</v>
      </c>
      <c r="L16" s="76">
        <v>9504</v>
      </c>
      <c r="M16" s="63">
        <v>10431.6</v>
      </c>
      <c r="N16" s="7" t="s">
        <v>88</v>
      </c>
      <c r="O16" s="64" t="s">
        <v>88</v>
      </c>
    </row>
    <row r="17" spans="1:14" ht="13.15" x14ac:dyDescent="0.4">
      <c r="A17" s="9"/>
      <c r="B17" s="9" t="s">
        <v>64</v>
      </c>
      <c r="C17" s="51">
        <v>108606.2</v>
      </c>
      <c r="D17" s="51">
        <f>SUM(D7:D16)</f>
        <v>194847.09</v>
      </c>
      <c r="E17" s="51">
        <f>SUM(E7:E15)</f>
        <v>200350</v>
      </c>
      <c r="F17" s="50">
        <v>182088.53</v>
      </c>
      <c r="G17" s="50">
        <v>212268.2</v>
      </c>
      <c r="H17" s="50">
        <f t="shared" ref="H17:M17" si="0">SUM(H7:H16)</f>
        <v>253824.19000000003</v>
      </c>
      <c r="I17" s="77">
        <f t="shared" si="0"/>
        <v>284122.05</v>
      </c>
      <c r="J17" s="77">
        <f t="shared" si="0"/>
        <v>212500.15</v>
      </c>
      <c r="K17" s="77">
        <f>SUM(K7:K16)</f>
        <v>339053.81999999995</v>
      </c>
      <c r="L17" s="78">
        <f>SUM(L7:L16)</f>
        <v>608104</v>
      </c>
      <c r="M17" s="77">
        <f t="shared" si="0"/>
        <v>625281.6</v>
      </c>
      <c r="N17" s="7"/>
    </row>
    <row r="18" spans="1:14" ht="13.15" x14ac:dyDescent="0.4">
      <c r="A18" s="9"/>
      <c r="B18" s="9"/>
      <c r="C18" s="29"/>
      <c r="D18" s="29"/>
      <c r="E18" s="29"/>
      <c r="F18" s="27"/>
      <c r="G18" s="27"/>
      <c r="H18" s="27"/>
      <c r="I18" s="66"/>
      <c r="J18" s="66"/>
      <c r="K18" s="66"/>
      <c r="L18" s="66"/>
      <c r="M18" s="66"/>
      <c r="N18" s="3"/>
    </row>
    <row r="19" spans="1:14" ht="13.15" x14ac:dyDescent="0.4">
      <c r="A19" s="9"/>
      <c r="B19" s="9" t="s">
        <v>65</v>
      </c>
      <c r="C19" s="51">
        <v>-108606.2</v>
      </c>
      <c r="D19" s="51">
        <f>-D17</f>
        <v>-194847.09</v>
      </c>
      <c r="E19" s="51">
        <f>E5-E17</f>
        <v>-200350</v>
      </c>
      <c r="F19" s="50">
        <v>-182088.53</v>
      </c>
      <c r="G19" s="51">
        <v>-212268.2</v>
      </c>
      <c r="H19" s="50">
        <f t="shared" ref="H19:M19" si="1">-H17</f>
        <v>-253824.19000000003</v>
      </c>
      <c r="I19" s="51">
        <f t="shared" si="1"/>
        <v>-284122.05</v>
      </c>
      <c r="J19" s="51">
        <f t="shared" si="1"/>
        <v>-212500.15</v>
      </c>
      <c r="K19" s="51">
        <f t="shared" si="1"/>
        <v>-339053.81999999995</v>
      </c>
      <c r="L19" s="51">
        <f t="shared" si="1"/>
        <v>-608104</v>
      </c>
      <c r="M19" s="51">
        <f t="shared" si="1"/>
        <v>-625281.6</v>
      </c>
      <c r="N19" s="3"/>
    </row>
  </sheetData>
  <mergeCells count="3">
    <mergeCell ref="A1:I1"/>
    <mergeCell ref="A4:G4"/>
    <mergeCell ref="A6:G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0F62B-D034-4F1F-9251-B266DE26A272}">
  <dimension ref="A1:P28"/>
  <sheetViews>
    <sheetView zoomScale="90" zoomScaleNormal="90" workbookViewId="0">
      <selection activeCell="K7" sqref="K7"/>
    </sheetView>
  </sheetViews>
  <sheetFormatPr defaultColWidth="12.33203125" defaultRowHeight="12.75" x14ac:dyDescent="0.35"/>
  <cols>
    <col min="1" max="1" width="23.46484375" style="1" bestFit="1" customWidth="1"/>
    <col min="2" max="2" width="40.19921875" style="1" bestFit="1" customWidth="1"/>
    <col min="3" max="4" width="7.46484375" style="1" customWidth="1"/>
    <col min="5" max="5" width="9.59765625" style="1" customWidth="1"/>
    <col min="6" max="6" width="13.796875" style="1" customWidth="1"/>
    <col min="7" max="7" width="10.59765625" style="1" customWidth="1"/>
    <col min="8" max="8" width="10.46484375" style="1" customWidth="1"/>
    <col min="9" max="10" width="11.33203125" style="1" customWidth="1"/>
    <col min="11" max="11" width="11.33203125" style="1" bestFit="1" customWidth="1"/>
    <col min="12" max="13" width="12.796875" style="1" customWidth="1"/>
    <col min="14" max="14" width="34.46484375" style="1" customWidth="1"/>
    <col min="15" max="15" width="35.33203125" style="1" customWidth="1"/>
    <col min="16" max="16384" width="12.33203125" style="1"/>
  </cols>
  <sheetData>
    <row r="1" spans="1:16" ht="13.15" x14ac:dyDescent="0.4">
      <c r="A1" s="469" t="s">
        <v>0</v>
      </c>
      <c r="B1" s="469"/>
      <c r="C1" s="469"/>
      <c r="D1" s="469"/>
      <c r="E1" s="469"/>
      <c r="F1" s="469"/>
      <c r="G1" s="469"/>
      <c r="H1" s="469"/>
      <c r="I1" s="469"/>
      <c r="J1" s="469"/>
      <c r="K1" s="469"/>
      <c r="L1" s="469"/>
      <c r="M1" s="469"/>
      <c r="N1" s="469"/>
    </row>
    <row r="2" spans="1:16" ht="13.15" x14ac:dyDescent="0.4">
      <c r="A2" s="2" t="s">
        <v>1</v>
      </c>
      <c r="B2" s="3"/>
      <c r="C2" s="2">
        <v>2021</v>
      </c>
      <c r="D2" s="2">
        <v>2022</v>
      </c>
      <c r="E2" s="2">
        <v>2022</v>
      </c>
      <c r="F2" s="2" t="s">
        <v>2</v>
      </c>
      <c r="G2" s="2">
        <v>2023</v>
      </c>
      <c r="H2" s="2">
        <v>2024</v>
      </c>
      <c r="I2" s="2">
        <v>2024</v>
      </c>
      <c r="J2" s="4">
        <v>45870</v>
      </c>
      <c r="K2" s="2">
        <v>2025</v>
      </c>
      <c r="L2" s="2">
        <v>2026</v>
      </c>
      <c r="M2" s="2">
        <v>2027</v>
      </c>
      <c r="N2" s="5" t="s">
        <v>3</v>
      </c>
      <c r="O2" s="6" t="s">
        <v>4</v>
      </c>
    </row>
    <row r="3" spans="1:16" ht="13.15" x14ac:dyDescent="0.4">
      <c r="A3" s="2" t="s">
        <v>5</v>
      </c>
      <c r="B3" s="2" t="s">
        <v>6</v>
      </c>
      <c r="C3" s="2" t="s">
        <v>7</v>
      </c>
      <c r="D3" s="2" t="s">
        <v>8</v>
      </c>
      <c r="E3" s="2" t="s">
        <v>9</v>
      </c>
      <c r="F3" s="2" t="s">
        <v>10</v>
      </c>
      <c r="G3" s="2" t="s">
        <v>9</v>
      </c>
      <c r="H3" s="2" t="s">
        <v>8</v>
      </c>
      <c r="I3" s="2" t="s">
        <v>7</v>
      </c>
      <c r="J3" s="2" t="s">
        <v>11</v>
      </c>
      <c r="K3" s="2" t="s">
        <v>7</v>
      </c>
      <c r="L3" s="2" t="s">
        <v>7</v>
      </c>
      <c r="M3" s="2" t="s">
        <v>7</v>
      </c>
      <c r="N3" s="7"/>
      <c r="O3" s="8"/>
    </row>
    <row r="4" spans="1:16" ht="13.15" x14ac:dyDescent="0.4">
      <c r="A4" s="9" t="s">
        <v>12</v>
      </c>
      <c r="B4" s="3"/>
      <c r="C4" s="3"/>
      <c r="D4" s="3"/>
      <c r="E4" s="3"/>
      <c r="F4" s="3"/>
      <c r="G4" s="3"/>
      <c r="H4" s="3"/>
      <c r="I4" s="3"/>
      <c r="J4" s="3"/>
      <c r="K4" s="3"/>
      <c r="L4" s="3"/>
      <c r="M4" s="3"/>
      <c r="N4" s="7"/>
      <c r="O4" s="8"/>
    </row>
    <row r="5" spans="1:16" x14ac:dyDescent="0.35">
      <c r="A5" s="10" t="s">
        <v>13</v>
      </c>
      <c r="B5" s="10" t="s">
        <v>14</v>
      </c>
      <c r="C5" s="11">
        <v>0</v>
      </c>
      <c r="D5" s="11">
        <v>0</v>
      </c>
      <c r="E5" s="12">
        <v>65000</v>
      </c>
      <c r="F5" s="13">
        <v>52101.01</v>
      </c>
      <c r="G5" s="11">
        <v>75000</v>
      </c>
      <c r="H5" s="14">
        <v>48904.95</v>
      </c>
      <c r="I5" s="15">
        <v>107930</v>
      </c>
      <c r="J5" s="15">
        <v>31253</v>
      </c>
      <c r="K5" s="15">
        <v>100000</v>
      </c>
      <c r="L5" s="16">
        <v>150000</v>
      </c>
      <c r="M5" s="16">
        <v>150000</v>
      </c>
      <c r="N5" s="17"/>
      <c r="O5" s="8"/>
    </row>
    <row r="6" spans="1:16" x14ac:dyDescent="0.35">
      <c r="A6" s="18" t="s">
        <v>15</v>
      </c>
      <c r="B6" s="18" t="s">
        <v>16</v>
      </c>
      <c r="C6" s="19">
        <v>0</v>
      </c>
      <c r="D6" s="19">
        <v>0</v>
      </c>
      <c r="E6" s="19">
        <v>0</v>
      </c>
      <c r="F6" s="19"/>
      <c r="G6" s="19">
        <v>0</v>
      </c>
      <c r="H6" s="19">
        <v>1736.12</v>
      </c>
      <c r="I6" s="19">
        <v>0</v>
      </c>
      <c r="J6" s="19"/>
      <c r="K6" s="19"/>
      <c r="L6" s="43"/>
      <c r="M6" s="43"/>
      <c r="N6" s="8"/>
      <c r="O6" s="8"/>
    </row>
    <row r="7" spans="1:16" ht="13.15" x14ac:dyDescent="0.4">
      <c r="A7" s="20"/>
      <c r="B7" s="20" t="s">
        <v>17</v>
      </c>
      <c r="C7" s="21">
        <v>0</v>
      </c>
      <c r="D7" s="21">
        <v>0</v>
      </c>
      <c r="E7" s="22">
        <v>65000</v>
      </c>
      <c r="F7" s="21">
        <v>52101.01</v>
      </c>
      <c r="G7" s="21">
        <v>75000</v>
      </c>
      <c r="H7" s="23">
        <f t="shared" ref="H7:K7" si="0">SUM(H5:H6)</f>
        <v>50641.07</v>
      </c>
      <c r="I7" s="24">
        <f t="shared" si="0"/>
        <v>107930</v>
      </c>
      <c r="J7" s="24">
        <f t="shared" si="0"/>
        <v>31253</v>
      </c>
      <c r="K7" s="24">
        <f t="shared" si="0"/>
        <v>100000</v>
      </c>
      <c r="L7" s="25">
        <f>L5</f>
        <v>150000</v>
      </c>
      <c r="M7" s="25">
        <f>M5</f>
        <v>150000</v>
      </c>
      <c r="N7" s="26"/>
      <c r="O7" s="8"/>
    </row>
    <row r="8" spans="1:16" ht="13.15" x14ac:dyDescent="0.4">
      <c r="A8" s="9"/>
      <c r="B8" s="9"/>
      <c r="C8" s="27"/>
      <c r="D8" s="27"/>
      <c r="E8" s="27"/>
      <c r="F8" s="27"/>
      <c r="G8" s="27"/>
      <c r="H8" s="28"/>
      <c r="I8" s="28"/>
      <c r="J8" s="28"/>
      <c r="K8" s="28"/>
      <c r="L8" s="3"/>
      <c r="M8" s="28"/>
      <c r="N8" s="7"/>
      <c r="O8" s="8"/>
    </row>
    <row r="9" spans="1:16" ht="13.15" x14ac:dyDescent="0.4">
      <c r="A9" s="9" t="s">
        <v>18</v>
      </c>
      <c r="B9" s="3"/>
      <c r="C9" s="28"/>
      <c r="D9" s="28"/>
      <c r="E9" s="28"/>
      <c r="F9" s="28"/>
      <c r="G9" s="28"/>
      <c r="H9" s="19"/>
      <c r="I9" s="28"/>
      <c r="J9" s="28"/>
      <c r="K9" s="28"/>
      <c r="L9" s="3"/>
      <c r="M9" s="28"/>
      <c r="N9" s="7"/>
      <c r="O9" s="8"/>
    </row>
    <row r="10" spans="1:16" x14ac:dyDescent="0.35">
      <c r="A10" s="18" t="s">
        <v>19</v>
      </c>
      <c r="B10" s="18" t="s">
        <v>20</v>
      </c>
      <c r="C10" s="19">
        <v>0</v>
      </c>
      <c r="D10" s="19">
        <v>0</v>
      </c>
      <c r="E10" s="29">
        <v>0</v>
      </c>
      <c r="F10" s="19">
        <v>1602.14</v>
      </c>
      <c r="G10" s="19">
        <v>5000</v>
      </c>
      <c r="H10" s="19">
        <v>765.01</v>
      </c>
      <c r="I10" s="30">
        <v>5000</v>
      </c>
      <c r="J10" s="30">
        <v>62.05</v>
      </c>
      <c r="K10" s="31">
        <v>3500</v>
      </c>
      <c r="L10" s="31">
        <v>3500</v>
      </c>
      <c r="M10" s="31">
        <v>3500</v>
      </c>
      <c r="N10" s="7" t="s">
        <v>21</v>
      </c>
      <c r="O10" s="7" t="s">
        <v>21</v>
      </c>
    </row>
    <row r="11" spans="1:16" x14ac:dyDescent="0.35">
      <c r="A11" s="18">
        <v>5220</v>
      </c>
      <c r="B11" s="18"/>
      <c r="C11" s="19"/>
      <c r="D11" s="19"/>
      <c r="E11" s="29"/>
      <c r="F11" s="19"/>
      <c r="G11" s="19"/>
      <c r="H11" s="19">
        <v>14.09</v>
      </c>
      <c r="I11" s="30"/>
      <c r="J11" s="30"/>
      <c r="K11" s="31"/>
      <c r="L11" s="31"/>
      <c r="M11" s="31"/>
      <c r="N11" s="7"/>
      <c r="O11" s="8"/>
    </row>
    <row r="12" spans="1:16" ht="38.25" x14ac:dyDescent="0.35">
      <c r="A12" s="18" t="s">
        <v>22</v>
      </c>
      <c r="B12" s="18" t="s">
        <v>23</v>
      </c>
      <c r="C12" s="19">
        <v>0</v>
      </c>
      <c r="D12" s="19">
        <v>0</v>
      </c>
      <c r="E12" s="29"/>
      <c r="F12" s="19">
        <v>103.09</v>
      </c>
      <c r="G12" s="19">
        <v>5000</v>
      </c>
      <c r="H12" s="19">
        <v>894.61</v>
      </c>
      <c r="I12" s="30">
        <v>5000</v>
      </c>
      <c r="J12" s="30">
        <v>1325.56</v>
      </c>
      <c r="K12" s="31">
        <v>3500</v>
      </c>
      <c r="L12" s="31">
        <v>3500</v>
      </c>
      <c r="M12" s="31">
        <v>3500</v>
      </c>
      <c r="N12" s="7" t="s">
        <v>24</v>
      </c>
      <c r="O12" s="7" t="s">
        <v>24</v>
      </c>
    </row>
    <row r="13" spans="1:16" ht="38.25" x14ac:dyDescent="0.35">
      <c r="A13" s="18" t="s">
        <v>25</v>
      </c>
      <c r="B13" s="18" t="s">
        <v>26</v>
      </c>
      <c r="C13" s="19">
        <v>0</v>
      </c>
      <c r="D13" s="19">
        <v>0</v>
      </c>
      <c r="E13" s="29">
        <v>2500</v>
      </c>
      <c r="F13" s="19">
        <v>0</v>
      </c>
      <c r="G13" s="19">
        <v>2500</v>
      </c>
      <c r="H13" s="19">
        <v>14.28</v>
      </c>
      <c r="I13" s="30">
        <v>2500</v>
      </c>
      <c r="J13" s="30"/>
      <c r="K13" s="31">
        <v>1000</v>
      </c>
      <c r="L13" s="31">
        <v>1000</v>
      </c>
      <c r="M13" s="31">
        <v>1000</v>
      </c>
      <c r="N13" s="7" t="s">
        <v>27</v>
      </c>
      <c r="O13" s="7" t="s">
        <v>27</v>
      </c>
    </row>
    <row r="14" spans="1:16" ht="25.5" x14ac:dyDescent="0.35">
      <c r="A14" s="18">
        <v>5280</v>
      </c>
      <c r="B14" s="18" t="s">
        <v>28</v>
      </c>
      <c r="C14" s="19"/>
      <c r="D14" s="19"/>
      <c r="E14" s="29"/>
      <c r="F14" s="19"/>
      <c r="G14" s="19"/>
      <c r="H14" s="19"/>
      <c r="I14" s="30"/>
      <c r="J14" s="30">
        <v>821.95</v>
      </c>
      <c r="K14" s="31">
        <v>6000</v>
      </c>
      <c r="L14" s="1">
        <v>0</v>
      </c>
      <c r="M14" s="31">
        <v>0</v>
      </c>
      <c r="N14" s="7" t="s">
        <v>29</v>
      </c>
      <c r="O14" s="8" t="s">
        <v>30</v>
      </c>
    </row>
    <row r="15" spans="1:16" ht="153" x14ac:dyDescent="0.35">
      <c r="A15" s="18" t="s">
        <v>31</v>
      </c>
      <c r="B15" s="18" t="s">
        <v>32</v>
      </c>
      <c r="C15" s="19">
        <v>0</v>
      </c>
      <c r="D15" s="19">
        <v>0</v>
      </c>
      <c r="E15" s="29">
        <v>39000</v>
      </c>
      <c r="F15" s="19">
        <v>1750</v>
      </c>
      <c r="G15" s="19">
        <v>40000</v>
      </c>
      <c r="H15" s="19">
        <v>1976.91</v>
      </c>
      <c r="I15" s="30">
        <v>20000</v>
      </c>
      <c r="J15" s="30">
        <v>3000</v>
      </c>
      <c r="K15" s="31">
        <v>20000</v>
      </c>
      <c r="L15" s="32">
        <v>40000</v>
      </c>
      <c r="M15" s="32">
        <v>40000</v>
      </c>
      <c r="N15" s="7" t="s">
        <v>33</v>
      </c>
      <c r="O15" s="33" t="s">
        <v>34</v>
      </c>
      <c r="P15" s="34"/>
    </row>
    <row r="16" spans="1:16" ht="26.25" x14ac:dyDescent="0.4">
      <c r="A16" s="35">
        <v>9018</v>
      </c>
      <c r="B16" s="35" t="s">
        <v>35</v>
      </c>
      <c r="C16" s="36"/>
      <c r="D16" s="36"/>
      <c r="E16" s="37"/>
      <c r="F16" s="36"/>
      <c r="G16" s="36"/>
      <c r="H16" s="36"/>
      <c r="I16" s="38"/>
      <c r="J16" s="38"/>
      <c r="K16" s="39"/>
      <c r="L16" s="40">
        <v>22500</v>
      </c>
      <c r="M16" s="39">
        <v>30000</v>
      </c>
      <c r="N16" s="41"/>
      <c r="O16" s="42" t="s">
        <v>36</v>
      </c>
      <c r="P16" s="34"/>
    </row>
    <row r="17" spans="1:15" ht="25.5" x14ac:dyDescent="0.35">
      <c r="A17" s="18" t="s">
        <v>37</v>
      </c>
      <c r="B17" s="18" t="s">
        <v>38</v>
      </c>
      <c r="C17" s="19"/>
      <c r="D17" s="19"/>
      <c r="E17" s="29"/>
      <c r="F17" s="28"/>
      <c r="G17" s="19">
        <v>0</v>
      </c>
      <c r="H17" s="19">
        <v>344.27</v>
      </c>
      <c r="I17" s="30">
        <v>1500</v>
      </c>
      <c r="J17" s="30"/>
      <c r="K17" s="30">
        <v>1500</v>
      </c>
      <c r="L17" s="16">
        <v>1500</v>
      </c>
      <c r="M17" s="16">
        <v>1500</v>
      </c>
      <c r="N17" s="33" t="s">
        <v>39</v>
      </c>
      <c r="O17" s="7" t="s">
        <v>39</v>
      </c>
    </row>
    <row r="18" spans="1:15" ht="51" x14ac:dyDescent="0.35">
      <c r="A18" s="18" t="s">
        <v>40</v>
      </c>
      <c r="B18" s="18" t="s">
        <v>41</v>
      </c>
      <c r="C18" s="19">
        <v>0</v>
      </c>
      <c r="D18" s="19">
        <v>0</v>
      </c>
      <c r="E18" s="29"/>
      <c r="F18" s="19">
        <v>961.92</v>
      </c>
      <c r="G18" s="19">
        <v>20000</v>
      </c>
      <c r="H18" s="19">
        <v>7719.29</v>
      </c>
      <c r="I18" s="30">
        <v>15000</v>
      </c>
      <c r="J18" s="30">
        <v>5613.58</v>
      </c>
      <c r="K18" s="30">
        <v>15000</v>
      </c>
      <c r="L18" s="16">
        <v>15000</v>
      </c>
      <c r="M18" s="16">
        <v>15000</v>
      </c>
      <c r="N18" s="7" t="s">
        <v>42</v>
      </c>
      <c r="O18" s="33" t="s">
        <v>43</v>
      </c>
    </row>
    <row r="19" spans="1:15" ht="25.5" x14ac:dyDescent="0.35">
      <c r="A19" s="18">
        <v>5454</v>
      </c>
      <c r="B19" s="18" t="s">
        <v>44</v>
      </c>
      <c r="C19" s="19"/>
      <c r="D19" s="19"/>
      <c r="E19" s="29"/>
      <c r="F19" s="19"/>
      <c r="G19" s="19"/>
      <c r="H19" s="19">
        <v>28154.58</v>
      </c>
      <c r="I19" s="30">
        <v>50000</v>
      </c>
      <c r="J19" s="30">
        <v>957.25</v>
      </c>
      <c r="K19" s="30">
        <v>10000</v>
      </c>
      <c r="L19" s="16">
        <v>1000</v>
      </c>
      <c r="M19" s="16">
        <v>1000</v>
      </c>
      <c r="N19" s="33" t="s">
        <v>45</v>
      </c>
      <c r="O19" s="33" t="s">
        <v>46</v>
      </c>
    </row>
    <row r="20" spans="1:15" x14ac:dyDescent="0.35">
      <c r="A20" s="18" t="s">
        <v>47</v>
      </c>
      <c r="B20" s="18" t="s">
        <v>48</v>
      </c>
      <c r="C20" s="19">
        <v>0</v>
      </c>
      <c r="D20" s="19">
        <v>0</v>
      </c>
      <c r="E20" s="29">
        <v>12750</v>
      </c>
      <c r="F20" s="19">
        <v>12.17</v>
      </c>
      <c r="G20" s="19">
        <v>0</v>
      </c>
      <c r="H20" s="19"/>
      <c r="I20" s="30">
        <v>0</v>
      </c>
      <c r="J20" s="30"/>
      <c r="K20" s="30">
        <v>0</v>
      </c>
      <c r="L20" s="16">
        <v>0</v>
      </c>
      <c r="M20" s="30"/>
      <c r="N20" s="33"/>
      <c r="O20" s="7"/>
    </row>
    <row r="21" spans="1:15" ht="25.5" x14ac:dyDescent="0.35">
      <c r="A21" s="18" t="s">
        <v>49</v>
      </c>
      <c r="B21" s="18" t="s">
        <v>50</v>
      </c>
      <c r="C21" s="19">
        <v>0</v>
      </c>
      <c r="D21" s="19">
        <v>0</v>
      </c>
      <c r="E21" s="29">
        <v>5000</v>
      </c>
      <c r="F21" s="19">
        <v>0</v>
      </c>
      <c r="G21" s="19">
        <v>5000</v>
      </c>
      <c r="H21" s="19">
        <v>350</v>
      </c>
      <c r="I21" s="30">
        <v>5000</v>
      </c>
      <c r="J21" s="30"/>
      <c r="K21" s="30">
        <v>5000</v>
      </c>
      <c r="L21" s="16">
        <v>5000</v>
      </c>
      <c r="M21" s="16">
        <v>5000</v>
      </c>
      <c r="N21" s="7" t="s">
        <v>51</v>
      </c>
      <c r="O21" s="7" t="s">
        <v>51</v>
      </c>
    </row>
    <row r="22" spans="1:15" ht="25.5" x14ac:dyDescent="0.35">
      <c r="A22" s="18" t="s">
        <v>52</v>
      </c>
      <c r="B22" s="18" t="s">
        <v>53</v>
      </c>
      <c r="C22" s="19">
        <v>0</v>
      </c>
      <c r="D22" s="19">
        <v>0</v>
      </c>
      <c r="E22" s="29">
        <v>1500</v>
      </c>
      <c r="F22" s="19">
        <v>500</v>
      </c>
      <c r="G22" s="19">
        <v>1500</v>
      </c>
      <c r="H22" s="43">
        <v>500</v>
      </c>
      <c r="I22" s="30">
        <v>1000</v>
      </c>
      <c r="J22" s="30">
        <v>150</v>
      </c>
      <c r="K22" s="30">
        <v>1000</v>
      </c>
      <c r="L22" s="16">
        <v>1000</v>
      </c>
      <c r="M22" s="16">
        <v>1000</v>
      </c>
      <c r="N22" s="7" t="s">
        <v>54</v>
      </c>
      <c r="O22" s="7"/>
    </row>
    <row r="23" spans="1:15" x14ac:dyDescent="0.35">
      <c r="A23" s="18" t="s">
        <v>55</v>
      </c>
      <c r="B23" s="18" t="s">
        <v>56</v>
      </c>
      <c r="C23" s="19">
        <v>0</v>
      </c>
      <c r="D23" s="19">
        <v>0</v>
      </c>
      <c r="E23" s="29">
        <v>1000</v>
      </c>
      <c r="F23" s="19">
        <v>243.75</v>
      </c>
      <c r="G23" s="19">
        <v>1000</v>
      </c>
      <c r="H23" s="19"/>
      <c r="I23" s="30"/>
      <c r="J23" s="30"/>
      <c r="K23" s="30">
        <v>0</v>
      </c>
      <c r="L23" s="30"/>
      <c r="M23" s="30"/>
      <c r="N23" s="7" t="s">
        <v>57</v>
      </c>
      <c r="O23" s="7" t="s">
        <v>57</v>
      </c>
    </row>
    <row r="24" spans="1:15" ht="25.5" x14ac:dyDescent="0.35">
      <c r="A24" s="18" t="s">
        <v>58</v>
      </c>
      <c r="B24" s="18" t="s">
        <v>59</v>
      </c>
      <c r="C24" s="19">
        <v>0</v>
      </c>
      <c r="D24" s="19">
        <v>0</v>
      </c>
      <c r="E24" s="29"/>
      <c r="F24" s="19">
        <v>349.5</v>
      </c>
      <c r="G24" s="19">
        <v>0</v>
      </c>
      <c r="H24" s="19">
        <v>1250.1400000000001</v>
      </c>
      <c r="I24" s="30">
        <v>2930</v>
      </c>
      <c r="J24" s="30"/>
      <c r="K24" s="30">
        <v>2930</v>
      </c>
      <c r="L24" s="30">
        <v>2930</v>
      </c>
      <c r="M24" s="30">
        <v>2930</v>
      </c>
      <c r="N24" s="7" t="s">
        <v>60</v>
      </c>
      <c r="O24" s="7" t="s">
        <v>61</v>
      </c>
    </row>
    <row r="25" spans="1:15" ht="13.15" x14ac:dyDescent="0.4">
      <c r="A25" s="44">
        <v>9019</v>
      </c>
      <c r="B25" s="44" t="s">
        <v>62</v>
      </c>
      <c r="C25" s="45"/>
      <c r="D25" s="45"/>
      <c r="E25" s="46"/>
      <c r="F25" s="45"/>
      <c r="G25" s="45"/>
      <c r="H25" s="45"/>
      <c r="I25" s="47"/>
      <c r="J25" s="47"/>
      <c r="K25" s="47"/>
      <c r="L25" s="47">
        <v>40000</v>
      </c>
      <c r="M25" s="47">
        <v>0</v>
      </c>
      <c r="N25" s="48"/>
      <c r="O25" s="49" t="s">
        <v>63</v>
      </c>
    </row>
    <row r="26" spans="1:15" ht="13.15" x14ac:dyDescent="0.4">
      <c r="A26" s="9"/>
      <c r="B26" s="9" t="s">
        <v>64</v>
      </c>
      <c r="C26" s="50">
        <v>0</v>
      </c>
      <c r="D26" s="50">
        <v>0</v>
      </c>
      <c r="E26" s="51">
        <f>SUM(E13:E23)</f>
        <v>61750</v>
      </c>
      <c r="F26" s="50">
        <v>8990.1299999999992</v>
      </c>
      <c r="G26" s="50">
        <v>80000</v>
      </c>
      <c r="H26" s="50">
        <f>SUM(H10:H25)</f>
        <v>41983.18</v>
      </c>
      <c r="I26" s="52">
        <f>SUM(I10:I24)</f>
        <v>107930</v>
      </c>
      <c r="J26" s="52">
        <f>SUM(J10:J24)</f>
        <v>11930.39</v>
      </c>
      <c r="K26" s="52">
        <f>SUM(K10:K25)</f>
        <v>69430</v>
      </c>
      <c r="L26" s="52">
        <f>SUM(L10:L25)</f>
        <v>136930</v>
      </c>
      <c r="M26" s="52">
        <f>SUM(M10:M24)</f>
        <v>104430</v>
      </c>
      <c r="N26" s="7"/>
      <c r="O26" s="8"/>
    </row>
    <row r="27" spans="1:15" ht="13.15" x14ac:dyDescent="0.4">
      <c r="A27" s="9"/>
      <c r="B27" s="9"/>
      <c r="C27" s="27"/>
      <c r="D27" s="27"/>
      <c r="E27" s="29"/>
      <c r="F27" s="27"/>
      <c r="G27" s="27"/>
      <c r="H27" s="27"/>
      <c r="I27" s="28"/>
      <c r="J27" s="28"/>
      <c r="K27" s="28"/>
      <c r="L27" s="28"/>
      <c r="M27" s="28"/>
      <c r="N27" s="7"/>
      <c r="O27" s="8"/>
    </row>
    <row r="28" spans="1:15" ht="13.15" x14ac:dyDescent="0.4">
      <c r="A28" s="9"/>
      <c r="B28" s="9" t="s">
        <v>65</v>
      </c>
      <c r="C28" s="50">
        <v>0</v>
      </c>
      <c r="D28" s="50">
        <v>0</v>
      </c>
      <c r="E28" s="50">
        <f>E7-E26</f>
        <v>3250</v>
      </c>
      <c r="F28" s="53">
        <v>43110.879999999997</v>
      </c>
      <c r="G28" s="50">
        <v>-5000</v>
      </c>
      <c r="H28" s="50">
        <f t="shared" ref="H28:M28" si="1">H7-H26</f>
        <v>8657.89</v>
      </c>
      <c r="I28" s="51">
        <f t="shared" si="1"/>
        <v>0</v>
      </c>
      <c r="J28" s="51">
        <f t="shared" si="1"/>
        <v>19322.61</v>
      </c>
      <c r="K28" s="51">
        <f t="shared" si="1"/>
        <v>30570</v>
      </c>
      <c r="L28" s="51">
        <f t="shared" si="1"/>
        <v>13070</v>
      </c>
      <c r="M28" s="51">
        <f t="shared" si="1"/>
        <v>45570</v>
      </c>
      <c r="N28" s="7"/>
      <c r="O28" s="8"/>
    </row>
  </sheetData>
  <mergeCells count="1">
    <mergeCell ref="A1:N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B77AD-11AE-400B-8BC7-16D2345B687A}">
  <dimension ref="A1:I11"/>
  <sheetViews>
    <sheetView zoomScale="90" zoomScaleNormal="90" workbookViewId="0">
      <selection activeCell="F10" sqref="F10"/>
    </sheetView>
  </sheetViews>
  <sheetFormatPr defaultColWidth="15.46484375" defaultRowHeight="13.5" x14ac:dyDescent="0.35"/>
  <cols>
    <col min="1" max="1" width="20.796875" style="83" customWidth="1"/>
    <col min="2" max="3" width="15.46484375" style="83"/>
    <col min="4" max="4" width="15.46484375" style="368"/>
    <col min="5" max="5" width="12.59765625" style="368" customWidth="1"/>
    <col min="6" max="8" width="15.46484375" style="368"/>
    <col min="9" max="9" width="24.59765625" style="367" customWidth="1"/>
    <col min="10" max="16384" width="15.46484375" style="83"/>
  </cols>
  <sheetData>
    <row r="1" spans="1:9" ht="13.9" x14ac:dyDescent="0.4">
      <c r="A1" s="470" t="s">
        <v>561</v>
      </c>
      <c r="B1" s="470"/>
      <c r="C1" s="470"/>
      <c r="D1" s="470"/>
      <c r="E1" s="470"/>
      <c r="F1" s="470"/>
      <c r="G1" s="470"/>
      <c r="H1" s="470"/>
      <c r="I1" s="470"/>
    </row>
    <row r="2" spans="1:9" ht="15" customHeight="1" x14ac:dyDescent="0.4">
      <c r="A2" s="392"/>
      <c r="B2" s="388"/>
      <c r="C2" s="391">
        <v>2024</v>
      </c>
      <c r="D2" s="389"/>
      <c r="E2" s="471" t="s">
        <v>560</v>
      </c>
      <c r="F2" s="389"/>
      <c r="G2" s="390"/>
      <c r="H2" s="389"/>
      <c r="I2" s="388"/>
    </row>
    <row r="3" spans="1:9" ht="13.9" x14ac:dyDescent="0.4">
      <c r="A3" s="387" t="s">
        <v>559</v>
      </c>
      <c r="B3" s="386"/>
      <c r="C3" s="385" t="s">
        <v>8</v>
      </c>
      <c r="D3" s="383" t="s">
        <v>558</v>
      </c>
      <c r="E3" s="472"/>
      <c r="F3" s="383" t="s">
        <v>557</v>
      </c>
      <c r="G3" s="384" t="s">
        <v>556</v>
      </c>
      <c r="H3" s="383" t="s">
        <v>555</v>
      </c>
      <c r="I3" s="382" t="s">
        <v>554</v>
      </c>
    </row>
    <row r="4" spans="1:9" ht="18.75" customHeight="1" x14ac:dyDescent="0.35">
      <c r="A4" s="381">
        <v>9020</v>
      </c>
      <c r="B4" s="381" t="s">
        <v>553</v>
      </c>
      <c r="C4" s="381"/>
      <c r="D4" s="380">
        <v>109375</v>
      </c>
      <c r="E4" s="380" t="s">
        <v>552</v>
      </c>
      <c r="F4" s="380">
        <v>135000</v>
      </c>
      <c r="G4" s="380">
        <v>135000</v>
      </c>
      <c r="H4" s="380">
        <v>135000</v>
      </c>
      <c r="I4" s="379"/>
    </row>
    <row r="5" spans="1:9" ht="13.9" x14ac:dyDescent="0.35">
      <c r="A5" s="378" t="s">
        <v>551</v>
      </c>
      <c r="B5" s="378"/>
      <c r="C5" s="378"/>
      <c r="D5" s="377">
        <v>109375</v>
      </c>
      <c r="E5" s="377">
        <f>SUM(E4)</f>
        <v>0</v>
      </c>
      <c r="F5" s="377">
        <v>135000</v>
      </c>
      <c r="G5" s="377">
        <f>SUM(G4)</f>
        <v>135000</v>
      </c>
      <c r="H5" s="377">
        <f>SUM(H4)</f>
        <v>135000</v>
      </c>
      <c r="I5" s="376"/>
    </row>
    <row r="6" spans="1:9" x14ac:dyDescent="0.35">
      <c r="A6" s="228"/>
      <c r="B6" s="228"/>
      <c r="C6" s="228"/>
      <c r="D6" s="373"/>
      <c r="E6" s="373"/>
      <c r="F6" s="373"/>
      <c r="G6" s="373"/>
      <c r="H6" s="373"/>
      <c r="I6" s="372"/>
    </row>
    <row r="7" spans="1:9" ht="13.9" x14ac:dyDescent="0.4">
      <c r="A7" s="375" t="s">
        <v>545</v>
      </c>
      <c r="B7" s="228"/>
      <c r="C7" s="228"/>
      <c r="D7" s="373"/>
      <c r="E7" s="373"/>
      <c r="F7" s="373"/>
      <c r="G7" s="373"/>
      <c r="H7" s="373"/>
      <c r="I7" s="372"/>
    </row>
    <row r="8" spans="1:9" ht="27" x14ac:dyDescent="0.35">
      <c r="A8" s="228">
        <v>9021</v>
      </c>
      <c r="B8" s="374" t="s">
        <v>550</v>
      </c>
      <c r="C8" s="374"/>
      <c r="D8" s="373">
        <v>20000</v>
      </c>
      <c r="E8" s="373"/>
      <c r="F8" s="373">
        <v>20000</v>
      </c>
      <c r="G8" s="373">
        <v>0</v>
      </c>
      <c r="H8" s="373">
        <v>0</v>
      </c>
      <c r="I8" s="372"/>
    </row>
    <row r="9" spans="1:9" x14ac:dyDescent="0.35">
      <c r="A9" s="228">
        <v>9022</v>
      </c>
      <c r="B9" s="228" t="s">
        <v>549</v>
      </c>
      <c r="C9" s="228"/>
      <c r="D9" s="373">
        <v>80000</v>
      </c>
      <c r="E9" s="373"/>
      <c r="F9" s="373">
        <v>100000</v>
      </c>
      <c r="G9" s="373">
        <v>125000</v>
      </c>
      <c r="H9" s="373">
        <v>125000</v>
      </c>
      <c r="I9" s="372"/>
    </row>
    <row r="10" spans="1:9" ht="17.25" customHeight="1" x14ac:dyDescent="0.4">
      <c r="A10" s="371" t="s">
        <v>548</v>
      </c>
      <c r="B10" s="371"/>
      <c r="C10" s="371"/>
      <c r="D10" s="370">
        <v>100000</v>
      </c>
      <c r="E10" s="370">
        <f>SUM(E8:E9)</f>
        <v>0</v>
      </c>
      <c r="F10" s="370">
        <v>120000</v>
      </c>
      <c r="G10" s="370">
        <f>SUM(G8:G9)</f>
        <v>125000</v>
      </c>
      <c r="H10" s="370">
        <f>SUM(H8:H9)</f>
        <v>125000</v>
      </c>
      <c r="I10" s="369"/>
    </row>
    <row r="11" spans="1:9" ht="12.75" customHeight="1" x14ac:dyDescent="0.4">
      <c r="A11" s="371" t="s">
        <v>547</v>
      </c>
      <c r="B11" s="371"/>
      <c r="C11" s="371"/>
      <c r="D11" s="370">
        <f>D5-D10</f>
        <v>9375</v>
      </c>
      <c r="E11" s="370">
        <f>E5-E10</f>
        <v>0</v>
      </c>
      <c r="F11" s="370">
        <v>15000</v>
      </c>
      <c r="G11" s="370">
        <f>G5-G10</f>
        <v>10000</v>
      </c>
      <c r="H11" s="370">
        <f>H5-H10</f>
        <v>10000</v>
      </c>
      <c r="I11" s="369"/>
    </row>
  </sheetData>
  <mergeCells count="2">
    <mergeCell ref="A1:I1"/>
    <mergeCell ref="E2:E3"/>
  </mergeCells>
  <pageMargins left="0.7" right="0.7" top="0.75" bottom="0.75" header="0.3" footer="0.3"/>
  <pageSetup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643C3-8159-416B-866B-82C497348A21}">
  <dimension ref="A1:J15"/>
  <sheetViews>
    <sheetView tabSelected="1" topLeftCell="E1" workbookViewId="0">
      <selection activeCell="G13" sqref="G13"/>
    </sheetView>
  </sheetViews>
  <sheetFormatPr defaultColWidth="8.796875" defaultRowHeight="14.25" x14ac:dyDescent="0.45"/>
  <cols>
    <col min="3" max="7" width="19.46484375" customWidth="1"/>
    <col min="8" max="8" width="16.59765625" customWidth="1"/>
    <col min="9" max="9" width="12.265625" style="413" customWidth="1"/>
    <col min="10" max="10" width="14.06640625" style="413" customWidth="1"/>
  </cols>
  <sheetData>
    <row r="1" spans="1:10" x14ac:dyDescent="0.45">
      <c r="C1" s="365">
        <v>2021</v>
      </c>
      <c r="D1" s="365">
        <v>2022</v>
      </c>
      <c r="E1" s="365">
        <v>2023</v>
      </c>
      <c r="F1" s="365">
        <v>2024</v>
      </c>
      <c r="G1" s="365">
        <v>2025</v>
      </c>
      <c r="H1" s="365">
        <v>2026</v>
      </c>
      <c r="I1" s="440"/>
    </row>
    <row r="2" spans="1:10" x14ac:dyDescent="0.45">
      <c r="C2" s="365" t="s">
        <v>7</v>
      </c>
      <c r="D2" s="365" t="s">
        <v>7</v>
      </c>
      <c r="E2" s="365" t="s">
        <v>7</v>
      </c>
      <c r="F2" s="365" t="s">
        <v>7</v>
      </c>
      <c r="G2" s="365" t="s">
        <v>7</v>
      </c>
      <c r="H2" s="365" t="s">
        <v>7</v>
      </c>
      <c r="I2" s="440"/>
    </row>
    <row r="4" spans="1:10" x14ac:dyDescent="0.45">
      <c r="I4" s="413" t="s">
        <v>619</v>
      </c>
      <c r="J4" s="413" t="s">
        <v>620</v>
      </c>
    </row>
    <row r="5" spans="1:10" x14ac:dyDescent="0.45">
      <c r="A5" t="s">
        <v>544</v>
      </c>
      <c r="C5" s="366">
        <v>3156349</v>
      </c>
      <c r="D5" s="366">
        <v>3267450.45</v>
      </c>
      <c r="E5" s="366">
        <v>3681814.11</v>
      </c>
      <c r="F5" s="366">
        <v>3934168.27</v>
      </c>
      <c r="G5" s="366">
        <v>2348645</v>
      </c>
      <c r="H5" s="366">
        <f>SUM('180-Operations'!L20,'182-Convention'!L14,'186-Marketing'!L14,'188-Prof Development'!L9,'190-Designations'!L11,'192-Res Resource'!L7,'195-Capitol Summit'!L7,'198-Broker Owner'!L11,'202-Advocacy'!L7,PAC!G5)</f>
        <v>4635780</v>
      </c>
      <c r="I5" s="441">
        <f>(H5-G5)/G5</f>
        <v>0.97381043112092291</v>
      </c>
      <c r="J5" s="441">
        <f>(H5-AVERAGE(C5:G5))/AVERAGE(C5:G5)</f>
        <v>0.41434563795773438</v>
      </c>
    </row>
    <row r="6" spans="1:10" x14ac:dyDescent="0.45">
      <c r="C6" s="366"/>
      <c r="D6" s="366"/>
      <c r="E6" s="366"/>
      <c r="F6" s="366"/>
      <c r="G6" s="366"/>
      <c r="H6" s="366"/>
    </row>
    <row r="7" spans="1:10" x14ac:dyDescent="0.45">
      <c r="A7" t="s">
        <v>545</v>
      </c>
      <c r="C7" s="366">
        <v>3210288</v>
      </c>
      <c r="D7" s="366">
        <v>3450681.47</v>
      </c>
      <c r="E7" s="366">
        <v>3804604.86</v>
      </c>
      <c r="F7" s="366">
        <v>4252099.8499999996</v>
      </c>
      <c r="G7" s="366">
        <v>4687266.5978303617</v>
      </c>
      <c r="H7" s="366">
        <f>SUM('180-Operations'!L108,'181-Member Services'!L24,'182-Convention'!L44,'185-Ch Leader Training'!L15,'186-Marketing'!L34,'188-Prof Development'!L37,'190-Designations'!L18,'192-Res Resource'!J14,'195-Capitol Summit'!K24,'198-Broker Owner'!K37,'199-Govt Affairs'!L17,'202-Advocacy'!L26,PAC!H10)</f>
        <v>5960933.0259894272</v>
      </c>
      <c r="I7" s="441">
        <f>(H7-G7)/G7</f>
        <v>0.27172903473180282</v>
      </c>
      <c r="J7" s="441">
        <f>(H7-AVERAGE(C7:G7))/AVERAGE(C7:G7)</f>
        <v>0.53593177486004939</v>
      </c>
    </row>
    <row r="8" spans="1:10" x14ac:dyDescent="0.45">
      <c r="C8" s="366"/>
      <c r="D8" s="366"/>
      <c r="E8" s="366"/>
      <c r="F8" s="366"/>
      <c r="G8" s="366" t="s">
        <v>546</v>
      </c>
      <c r="H8" s="366"/>
    </row>
    <row r="9" spans="1:10" x14ac:dyDescent="0.45">
      <c r="C9" s="366">
        <v>-53939</v>
      </c>
      <c r="D9" s="366">
        <v>-183231.02000000002</v>
      </c>
      <c r="E9" s="366">
        <v>-122790.75</v>
      </c>
      <c r="F9" s="366">
        <v>-317931.57999999961</v>
      </c>
      <c r="G9" s="366">
        <v>-2338621.5978303617</v>
      </c>
      <c r="H9" s="366">
        <f>H5-H7</f>
        <v>-1325153.0259894272</v>
      </c>
    </row>
    <row r="11" spans="1:10" x14ac:dyDescent="0.45">
      <c r="G11" s="473" t="s">
        <v>644</v>
      </c>
      <c r="H11" s="473"/>
      <c r="I11" s="443"/>
    </row>
    <row r="12" spans="1:10" x14ac:dyDescent="0.45">
      <c r="A12" t="s">
        <v>637</v>
      </c>
      <c r="G12" s="444">
        <f>SUM(PAC!F10,'202-Advocacy'!K26,'199-Govt Affairs'!K17,'198-Broker Owner'!K37,'195-Capitol Summit'!K24,'192-Res Resource'!K14,'190-Designations'!K18,'189-Womens Council'!K17,'188-Prof Development'!K37,'186-Marketing'!K34,'185-Ch Leader Training'!K15,'182-Convention'!K44,'181-Member Services'!K24,'180-Operations'!K108)</f>
        <v>4804266.5878303619</v>
      </c>
      <c r="H12" s="444">
        <f>SUM(PAC!G10,'202-Advocacy'!L26,'199-Govt Affairs'!L17,'198-Broker Owner'!L37,'195-Capitol Summit'!L24,'192-Res Resource'!L14,'190-Designations'!L18,'189-Womens Council'!L17,'188-Prof Development'!L37,'186-Marketing'!L34,'185-Ch Leader Training'!L15,'182-Convention'!L44,'181-Member Services'!L24,'180-Operations'!L108)</f>
        <v>6282172.5259894282</v>
      </c>
      <c r="I12" s="443" t="s">
        <v>642</v>
      </c>
      <c r="J12" s="474"/>
    </row>
    <row r="13" spans="1:10" x14ac:dyDescent="0.45">
      <c r="B13" t="s">
        <v>638</v>
      </c>
      <c r="G13" s="444">
        <f>SUM(PAC!F5,'202-Advocacy'!K7,'198-Broker Owner'!K11,'195-Capitol Summit'!K7,'192-Res Resource'!K7,'190-Designations'!K11,'189-Womens Council'!K7,'188-Prof Development'!K9,'186-Marketing'!K14,'182-Convention'!K14,'180-Operations'!K34)</f>
        <v>4693686.5</v>
      </c>
      <c r="H13" s="444">
        <f>SUM(PAC!G5,'202-Advocacy'!L7,'198-Broker Owner'!L11,'195-Capitol Summit'!L7,'192-Res Resource'!L7,'190-Designations'!L11,'189-Womens Council'!L7,'188-Prof Development'!L9,'186-Marketing'!L14,'182-Convention'!L14,'180-Operations'!L34)</f>
        <v>5395530</v>
      </c>
      <c r="I13" s="443" t="s">
        <v>643</v>
      </c>
    </row>
    <row r="14" spans="1:10" x14ac:dyDescent="0.45">
      <c r="B14" t="s">
        <v>640</v>
      </c>
    </row>
    <row r="15" spans="1:10" x14ac:dyDescent="0.45">
      <c r="B15" t="s">
        <v>639</v>
      </c>
    </row>
  </sheetData>
  <mergeCells count="1">
    <mergeCell ref="G11:H1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1</vt:i4>
      </vt:variant>
    </vt:vector>
  </HeadingPairs>
  <TitlesOfParts>
    <vt:vector size="16" baseType="lpstr">
      <vt:lpstr>180-Operations</vt:lpstr>
      <vt:lpstr>181-Member Services</vt:lpstr>
      <vt:lpstr>182-Convention</vt:lpstr>
      <vt:lpstr>185-Ch Leader Training</vt:lpstr>
      <vt:lpstr>186-Marketing</vt:lpstr>
      <vt:lpstr>188-Prof Development</vt:lpstr>
      <vt:lpstr>189-Womens Council</vt:lpstr>
      <vt:lpstr>190-Designations</vt:lpstr>
      <vt:lpstr>192-Res Resource</vt:lpstr>
      <vt:lpstr>195-Capitol Summit</vt:lpstr>
      <vt:lpstr>198-Broker Owner</vt:lpstr>
      <vt:lpstr>199-Govt Affairs</vt:lpstr>
      <vt:lpstr>202-Advocacy</vt:lpstr>
      <vt:lpstr>PAC</vt:lpstr>
      <vt:lpstr>Total Budget</vt:lpstr>
      <vt:lpstr>'198-Broker Owner'!Print_Titles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Tyler Craddock</dc:creator>
  <cp:lastModifiedBy>Edy Caroline Reynolds</cp:lastModifiedBy>
  <dcterms:created xsi:type="dcterms:W3CDTF">2025-11-26T18:36:18Z</dcterms:created>
  <dcterms:modified xsi:type="dcterms:W3CDTF">2026-02-05T19:35:41Z</dcterms:modified>
</cp:coreProperties>
</file>